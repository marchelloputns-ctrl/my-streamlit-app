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hello\Desktop\zpd\"/>
    </mc:Choice>
  </mc:AlternateContent>
  <xr:revisionPtr revIDLastSave="0" documentId="13_ncr:1_{A1AF4E0D-E663-4392-98DC-7A688737B34A}" xr6:coauthVersionLast="47" xr6:coauthVersionMax="47" xr10:uidLastSave="{00000000-0000-0000-0000-000000000000}"/>
  <bookViews>
    <workbookView xWindow="28680" yWindow="-120" windowWidth="29040" windowHeight="15720" xr2:uid="{ABB2C1E7-D9FE-4BA2-85B3-C62A408202BD}"/>
  </bookViews>
  <sheets>
    <sheet name="v2_pasaule_dati" sheetId="2" r:id="rId1"/>
    <sheet name="vdemo_pasaule_dati" sheetId="1" r:id="rId2"/>
  </sheets>
  <definedNames>
    <definedName name="_xlnm._FilterDatabase" localSheetId="0" hidden="1">v2_pasaule_dati!$A$1:$P$113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" i="2" l="1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K114" i="2"/>
  <c r="M114" i="2" s="1"/>
  <c r="O114" i="2"/>
  <c r="K2" i="2" l="1"/>
  <c r="O2" i="2" l="1"/>
  <c r="K3" i="2"/>
  <c r="O3" i="2" s="1"/>
  <c r="K4" i="2"/>
  <c r="O4" i="2" s="1"/>
  <c r="K5" i="2"/>
  <c r="O5" i="2" s="1"/>
  <c r="K17" i="2"/>
  <c r="O17" i="2" s="1"/>
  <c r="K18" i="2"/>
  <c r="O18" i="2" s="1"/>
  <c r="K19" i="2"/>
  <c r="O19" i="2" s="1"/>
  <c r="K20" i="2"/>
  <c r="O20" i="2" s="1"/>
  <c r="K21" i="2"/>
  <c r="O21" i="2" s="1"/>
  <c r="K22" i="2"/>
  <c r="O22" i="2" s="1"/>
  <c r="K23" i="2"/>
  <c r="O23" i="2" s="1"/>
  <c r="K24" i="2"/>
  <c r="O24" i="2" s="1"/>
  <c r="K25" i="2"/>
  <c r="O25" i="2" s="1"/>
  <c r="K26" i="2"/>
  <c r="O26" i="2" s="1"/>
  <c r="K27" i="2"/>
  <c r="O27" i="2" s="1"/>
  <c r="K28" i="2"/>
  <c r="O28" i="2" s="1"/>
  <c r="K29" i="2"/>
  <c r="O29" i="2" s="1"/>
  <c r="K30" i="2"/>
  <c r="O30" i="2" s="1"/>
  <c r="K31" i="2"/>
  <c r="O31" i="2" s="1"/>
  <c r="K32" i="2"/>
  <c r="O32" i="2" s="1"/>
  <c r="K33" i="2"/>
  <c r="O33" i="2" s="1"/>
  <c r="K34" i="2"/>
  <c r="O34" i="2" s="1"/>
  <c r="K35" i="2"/>
  <c r="O35" i="2" s="1"/>
  <c r="K36" i="2"/>
  <c r="O36" i="2" s="1"/>
  <c r="K37" i="2"/>
  <c r="O37" i="2" s="1"/>
  <c r="K38" i="2"/>
  <c r="O38" i="2" s="1"/>
  <c r="K39" i="2"/>
  <c r="O39" i="2" s="1"/>
  <c r="K40" i="2"/>
  <c r="O40" i="2" s="1"/>
  <c r="K41" i="2"/>
  <c r="O41" i="2" s="1"/>
  <c r="K42" i="2"/>
  <c r="O42" i="2" s="1"/>
  <c r="K43" i="2"/>
  <c r="O43" i="2" s="1"/>
  <c r="K44" i="2"/>
  <c r="O44" i="2" s="1"/>
  <c r="K45" i="2"/>
  <c r="O45" i="2" s="1"/>
  <c r="K46" i="2"/>
  <c r="O46" i="2" s="1"/>
  <c r="K47" i="2"/>
  <c r="O47" i="2" s="1"/>
  <c r="K48" i="2"/>
  <c r="O48" i="2" s="1"/>
  <c r="K49" i="2"/>
  <c r="O49" i="2" s="1"/>
  <c r="K50" i="2"/>
  <c r="O50" i="2" s="1"/>
  <c r="K51" i="2"/>
  <c r="O51" i="2" s="1"/>
  <c r="K52" i="2"/>
  <c r="O52" i="2" s="1"/>
  <c r="K53" i="2"/>
  <c r="O53" i="2" s="1"/>
  <c r="K54" i="2"/>
  <c r="O54" i="2" s="1"/>
  <c r="K55" i="2"/>
  <c r="O55" i="2" s="1"/>
  <c r="K56" i="2"/>
  <c r="O56" i="2" s="1"/>
  <c r="K57" i="2"/>
  <c r="O57" i="2" s="1"/>
  <c r="K58" i="2"/>
  <c r="O58" i="2" s="1"/>
  <c r="K59" i="2"/>
  <c r="O59" i="2" s="1"/>
  <c r="K60" i="2"/>
  <c r="O60" i="2" s="1"/>
  <c r="K61" i="2"/>
  <c r="O61" i="2" s="1"/>
  <c r="K62" i="2"/>
  <c r="O62" i="2" s="1"/>
  <c r="K63" i="2"/>
  <c r="O63" i="2" s="1"/>
  <c r="K64" i="2"/>
  <c r="O64" i="2" s="1"/>
  <c r="K65" i="2"/>
  <c r="O65" i="2" s="1"/>
  <c r="K66" i="2"/>
  <c r="O66" i="2" s="1"/>
  <c r="K67" i="2"/>
  <c r="O67" i="2" s="1"/>
  <c r="K68" i="2"/>
  <c r="O68" i="2" s="1"/>
  <c r="K69" i="2"/>
  <c r="O69" i="2" s="1"/>
  <c r="K70" i="2"/>
  <c r="O70" i="2" s="1"/>
  <c r="K71" i="2"/>
  <c r="O71" i="2" s="1"/>
  <c r="K72" i="2"/>
  <c r="O72" i="2" s="1"/>
  <c r="K73" i="2"/>
  <c r="O73" i="2" s="1"/>
  <c r="K74" i="2"/>
  <c r="O74" i="2" s="1"/>
  <c r="K75" i="2"/>
  <c r="O75" i="2" s="1"/>
  <c r="K76" i="2"/>
  <c r="O76" i="2" s="1"/>
  <c r="K77" i="2"/>
  <c r="O77" i="2" s="1"/>
  <c r="K78" i="2"/>
  <c r="O78" i="2" s="1"/>
  <c r="K79" i="2"/>
  <c r="O79" i="2" s="1"/>
  <c r="K80" i="2"/>
  <c r="O80" i="2" s="1"/>
  <c r="K81" i="2"/>
  <c r="O81" i="2" s="1"/>
  <c r="K82" i="2"/>
  <c r="O82" i="2" s="1"/>
  <c r="K83" i="2"/>
  <c r="O83" i="2" s="1"/>
  <c r="K84" i="2"/>
  <c r="O84" i="2" s="1"/>
  <c r="K85" i="2"/>
  <c r="O85" i="2" s="1"/>
  <c r="K86" i="2"/>
  <c r="O86" i="2" s="1"/>
  <c r="K87" i="2"/>
  <c r="O87" i="2" s="1"/>
  <c r="K88" i="2"/>
  <c r="O88" i="2" s="1"/>
  <c r="K89" i="2"/>
  <c r="O89" i="2" s="1"/>
  <c r="K90" i="2"/>
  <c r="O90" i="2" s="1"/>
  <c r="K91" i="2"/>
  <c r="O91" i="2" s="1"/>
  <c r="K92" i="2"/>
  <c r="O92" i="2" s="1"/>
  <c r="K93" i="2"/>
  <c r="O93" i="2" s="1"/>
  <c r="K94" i="2"/>
  <c r="O94" i="2" s="1"/>
  <c r="K95" i="2"/>
  <c r="O95" i="2" s="1"/>
  <c r="K96" i="2"/>
  <c r="O96" i="2" s="1"/>
  <c r="K97" i="2"/>
  <c r="O97" i="2" s="1"/>
  <c r="K98" i="2"/>
  <c r="O98" i="2" s="1"/>
  <c r="K99" i="2"/>
  <c r="O99" i="2" s="1"/>
  <c r="K100" i="2"/>
  <c r="O100" i="2" s="1"/>
  <c r="K101" i="2"/>
  <c r="O101" i="2" s="1"/>
  <c r="K102" i="2"/>
  <c r="O102" i="2" s="1"/>
  <c r="K103" i="2"/>
  <c r="O103" i="2" s="1"/>
  <c r="K104" i="2"/>
  <c r="O104" i="2" s="1"/>
  <c r="K105" i="2"/>
  <c r="O105" i="2" s="1"/>
  <c r="K106" i="2"/>
  <c r="O106" i="2" s="1"/>
  <c r="K107" i="2"/>
  <c r="O107" i="2" s="1"/>
  <c r="K108" i="2"/>
  <c r="O108" i="2" s="1"/>
  <c r="K109" i="2"/>
  <c r="O109" i="2" s="1"/>
  <c r="K110" i="2"/>
  <c r="O110" i="2" s="1"/>
  <c r="K111" i="2"/>
  <c r="O111" i="2" s="1"/>
  <c r="K112" i="2"/>
  <c r="O112" i="2" s="1"/>
  <c r="K113" i="2"/>
  <c r="O113" i="2" s="1"/>
  <c r="K11" i="2"/>
  <c r="O11" i="2" s="1"/>
  <c r="K12" i="2"/>
  <c r="O12" i="2" s="1"/>
  <c r="K13" i="2"/>
  <c r="O13" i="2" s="1"/>
  <c r="K14" i="2"/>
  <c r="O14" i="2" s="1"/>
  <c r="K15" i="2"/>
  <c r="O15" i="2" s="1"/>
  <c r="K16" i="2"/>
  <c r="O16" i="2" s="1"/>
  <c r="K10" i="2"/>
  <c r="O10" i="2" s="1"/>
  <c r="K9" i="2"/>
  <c r="O9" i="2" s="1"/>
  <c r="K8" i="2"/>
  <c r="O8" i="2" s="1"/>
  <c r="K7" i="2"/>
  <c r="O7" i="2" s="1"/>
  <c r="K6" i="2"/>
  <c r="M6" i="2" s="1"/>
  <c r="O6" i="2" l="1"/>
  <c r="M3" i="2"/>
  <c r="M4" i="2"/>
  <c r="M5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2" i="2"/>
  <c r="H3" i="1"/>
  <c r="I3" i="1" s="1"/>
  <c r="H4" i="1"/>
  <c r="I4" i="1" s="1"/>
  <c r="H9" i="1"/>
  <c r="I9" i="1" s="1"/>
  <c r="H2" i="1"/>
  <c r="I2" i="1" s="1"/>
  <c r="H5" i="1"/>
  <c r="I5" i="1" s="1"/>
  <c r="H6" i="1"/>
  <c r="I6" i="1" s="1"/>
  <c r="H7" i="1"/>
  <c r="I7" i="1" s="1"/>
  <c r="H8" i="1"/>
  <c r="I8" i="1" s="1"/>
  <c r="H10" i="1"/>
  <c r="I10" i="1" s="1"/>
  <c r="H11" i="1"/>
  <c r="I11" i="1" s="1"/>
  <c r="H12" i="1"/>
  <c r="I12" i="1" s="1"/>
  <c r="H13" i="1"/>
  <c r="I13" i="1" s="1"/>
  <c r="H14" i="1"/>
  <c r="I14" i="1" s="1"/>
  <c r="H15" i="1"/>
  <c r="I15" i="1" s="1"/>
  <c r="H16" i="1"/>
  <c r="I16" i="1" s="1"/>
  <c r="H17" i="1"/>
  <c r="I17" i="1" s="1"/>
  <c r="H18" i="1"/>
  <c r="I18" i="1" s="1"/>
  <c r="H19" i="1"/>
  <c r="I19" i="1" s="1"/>
  <c r="H20" i="1"/>
  <c r="I20" i="1" s="1"/>
  <c r="H21" i="1"/>
  <c r="I21" i="1" s="1"/>
  <c r="H22" i="1"/>
  <c r="I22" i="1" s="1"/>
  <c r="H23" i="1"/>
  <c r="I23" i="1" s="1"/>
  <c r="H24" i="1"/>
  <c r="I24" i="1" s="1"/>
  <c r="H25" i="1"/>
  <c r="I25" i="1" s="1"/>
  <c r="H26" i="1"/>
  <c r="I26" i="1" s="1"/>
  <c r="H27" i="1"/>
  <c r="I27" i="1" s="1"/>
  <c r="H28" i="1"/>
  <c r="I28" i="1" s="1"/>
  <c r="H29" i="1"/>
  <c r="I29" i="1" s="1"/>
  <c r="H30" i="1"/>
  <c r="I30" i="1" s="1"/>
  <c r="H31" i="1"/>
  <c r="I31" i="1" s="1"/>
  <c r="H32" i="1"/>
  <c r="I32" i="1" s="1"/>
  <c r="H33" i="1"/>
  <c r="I33" i="1" s="1"/>
  <c r="H34" i="1"/>
  <c r="I34" i="1" s="1"/>
  <c r="H35" i="1"/>
  <c r="I35" i="1" s="1"/>
  <c r="H36" i="1"/>
  <c r="I36" i="1" s="1"/>
  <c r="H37" i="1"/>
  <c r="I37" i="1" s="1"/>
  <c r="H38" i="1"/>
  <c r="I38" i="1" s="1"/>
  <c r="H39" i="1"/>
  <c r="I39" i="1" s="1"/>
  <c r="H40" i="1"/>
  <c r="I40" i="1" s="1"/>
  <c r="H41" i="1"/>
  <c r="I41" i="1" s="1"/>
  <c r="H42" i="1"/>
  <c r="I42" i="1" s="1"/>
  <c r="H43" i="1"/>
  <c r="I43" i="1" s="1"/>
  <c r="H44" i="1"/>
  <c r="I44" i="1" s="1"/>
  <c r="H45" i="1"/>
  <c r="I45" i="1" s="1"/>
  <c r="H46" i="1"/>
  <c r="I46" i="1" s="1"/>
  <c r="H47" i="1"/>
  <c r="I47" i="1" s="1"/>
  <c r="H48" i="1"/>
  <c r="I48" i="1" s="1"/>
  <c r="H49" i="1"/>
  <c r="I49" i="1" s="1"/>
  <c r="H50" i="1"/>
  <c r="I50" i="1" s="1"/>
  <c r="H51" i="1"/>
  <c r="I51" i="1" s="1"/>
  <c r="H52" i="1"/>
  <c r="H53" i="1"/>
  <c r="I53" i="1" s="1"/>
  <c r="H54" i="1"/>
  <c r="I54" i="1" s="1"/>
  <c r="H55" i="1"/>
  <c r="I55" i="1" s="1"/>
  <c r="H56" i="1"/>
  <c r="I56" i="1" s="1"/>
  <c r="H57" i="1"/>
  <c r="I57" i="1" s="1"/>
  <c r="H58" i="1"/>
  <c r="I58" i="1" s="1"/>
  <c r="H59" i="1"/>
  <c r="I59" i="1" s="1"/>
  <c r="H60" i="1"/>
  <c r="I60" i="1" s="1"/>
  <c r="H61" i="1"/>
  <c r="I61" i="1" s="1"/>
  <c r="H62" i="1"/>
  <c r="I62" i="1" s="1"/>
  <c r="H63" i="1"/>
  <c r="I63" i="1" s="1"/>
  <c r="H64" i="1"/>
  <c r="I64" i="1" s="1"/>
  <c r="H65" i="1"/>
  <c r="I65" i="1" s="1"/>
  <c r="H66" i="1"/>
  <c r="I66" i="1" s="1"/>
  <c r="H67" i="1"/>
  <c r="H68" i="1"/>
  <c r="H69" i="1"/>
  <c r="H70" i="1"/>
  <c r="I70" i="1" s="1"/>
  <c r="H71" i="1"/>
  <c r="H72" i="1"/>
  <c r="I72" i="1" s="1"/>
  <c r="H73" i="1"/>
  <c r="I73" i="1" s="1"/>
  <c r="H74" i="1"/>
  <c r="I74" i="1" s="1"/>
  <c r="H75" i="1"/>
  <c r="I75" i="1" s="1"/>
  <c r="H76" i="1"/>
  <c r="I76" i="1" s="1"/>
  <c r="H77" i="1"/>
  <c r="I77" i="1" s="1"/>
  <c r="H78" i="1"/>
  <c r="I78" i="1" s="1"/>
  <c r="H79" i="1"/>
  <c r="I79" i="1" s="1"/>
  <c r="H80" i="1"/>
  <c r="I80" i="1" s="1"/>
  <c r="H81" i="1"/>
  <c r="I81" i="1" s="1"/>
  <c r="H82" i="1"/>
  <c r="I82" i="1" s="1"/>
  <c r="H83" i="1"/>
  <c r="H84" i="1"/>
  <c r="H85" i="1"/>
  <c r="H86" i="1"/>
  <c r="I86" i="1" s="1"/>
  <c r="H87" i="1"/>
  <c r="I87" i="1" s="1"/>
  <c r="H88" i="1"/>
  <c r="I88" i="1" s="1"/>
  <c r="H89" i="1"/>
  <c r="I89" i="1" s="1"/>
  <c r="H90" i="1"/>
  <c r="I90" i="1" s="1"/>
  <c r="H91" i="1"/>
  <c r="I91" i="1" s="1"/>
  <c r="H92" i="1"/>
  <c r="I92" i="1" s="1"/>
  <c r="H93" i="1"/>
  <c r="I93" i="1" s="1"/>
  <c r="H94" i="1"/>
  <c r="I94" i="1" s="1"/>
  <c r="H95" i="1"/>
  <c r="I95" i="1" s="1"/>
  <c r="H96" i="1"/>
  <c r="I96" i="1" s="1"/>
  <c r="H97" i="1"/>
  <c r="I97" i="1" s="1"/>
  <c r="H98" i="1"/>
  <c r="I98" i="1" s="1"/>
  <c r="H99" i="1"/>
  <c r="H100" i="1"/>
  <c r="H101" i="1"/>
  <c r="I101" i="1" s="1"/>
  <c r="H102" i="1"/>
  <c r="I102" i="1" s="1"/>
  <c r="H103" i="1"/>
  <c r="I103" i="1" s="1"/>
  <c r="H104" i="1"/>
  <c r="I104" i="1" s="1"/>
  <c r="H105" i="1"/>
  <c r="I105" i="1" s="1"/>
  <c r="H106" i="1"/>
  <c r="I106" i="1" s="1"/>
  <c r="H107" i="1"/>
  <c r="I107" i="1" s="1"/>
  <c r="H108" i="1"/>
  <c r="I108" i="1" s="1"/>
  <c r="H109" i="1"/>
  <c r="I109" i="1" s="1"/>
  <c r="H110" i="1"/>
  <c r="I110" i="1" s="1"/>
  <c r="H111" i="1"/>
  <c r="I111" i="1" s="1"/>
  <c r="H112" i="1"/>
  <c r="I112" i="1" s="1"/>
  <c r="H113" i="1"/>
  <c r="I113" i="1" s="1"/>
  <c r="I52" i="1"/>
  <c r="I67" i="1"/>
  <c r="I68" i="1"/>
  <c r="I69" i="1"/>
  <c r="I71" i="1"/>
  <c r="I83" i="1"/>
  <c r="I84" i="1"/>
  <c r="I85" i="1"/>
  <c r="I99" i="1"/>
  <c r="I100" i="1"/>
</calcChain>
</file>

<file path=xl/sharedStrings.xml><?xml version="1.0" encoding="utf-8"?>
<sst xmlns="http://schemas.openxmlformats.org/spreadsheetml/2006/main" count="501" uniqueCount="167">
  <si>
    <t>Atrašanās vieta</t>
  </si>
  <si>
    <t>Datums / Laiks</t>
  </si>
  <si>
    <t>CAPE (J/kg)</t>
  </si>
  <si>
    <t>Lifted Index (LI)</t>
  </si>
  <si>
    <t>Nulles līnijas augstums (m)</t>
  </si>
  <si>
    <t>Vēja grieziens (mezgli)</t>
  </si>
  <si>
    <t>Radara atstarotība (dBZ)</t>
  </si>
  <si>
    <t>Kopējie riska punkti</t>
  </si>
  <si>
    <t>Krusas risks</t>
  </si>
  <si>
    <t>Saint-Georges</t>
  </si>
  <si>
    <t>Santa Rosa</t>
  </si>
  <si>
    <t>Saint-Quentin-de-Racanne</t>
  </si>
  <si>
    <t>Vizuālās atsauces</t>
  </si>
  <si>
    <t>Saint-Petersberg [FL]</t>
  </si>
  <si>
    <t>Marathon [Ontario]</t>
  </si>
  <si>
    <t>Carrolton</t>
  </si>
  <si>
    <t>Atlanta-Forestpark</t>
  </si>
  <si>
    <t>Brant [Alberta]</t>
  </si>
  <si>
    <t>Gibbon [NE]</t>
  </si>
  <si>
    <t>Stonewall [OK]</t>
  </si>
  <si>
    <t>Stormsburg</t>
  </si>
  <si>
    <t>Kronenwetter [WI]</t>
  </si>
  <si>
    <t>Somerset near Rhode is. [MS]</t>
  </si>
  <si>
    <t>Lockhart</t>
  </si>
  <si>
    <t>Hartley [TX]</t>
  </si>
  <si>
    <t>Mclean[TX]</t>
  </si>
  <si>
    <t>Anthony [New Mexico]</t>
  </si>
  <si>
    <t>Buffallo [SD]</t>
  </si>
  <si>
    <t>Oster</t>
  </si>
  <si>
    <t>Smiltene</t>
  </si>
  <si>
    <t>Swilcza</t>
  </si>
  <si>
    <t>Lufkin [TX]</t>
  </si>
  <si>
    <t>Linden Grove [MI]</t>
  </si>
  <si>
    <t>Statesville [NC]</t>
  </si>
  <si>
    <t>Calgary</t>
  </si>
  <si>
    <t>Slobozia</t>
  </si>
  <si>
    <t>La porte city</t>
  </si>
  <si>
    <t>Galveston Bay</t>
  </si>
  <si>
    <t>Houston [TX]</t>
  </si>
  <si>
    <t>Palanga</t>
  </si>
  <si>
    <t xml:space="preserve">https://docs.google.com/document/d/13jBL0zGBFnrpLuFpJ1O6rAzdySQ-rvtN/edit?usp=sharing&amp;ouid=106563521267158707088&amp;rtpof=true&amp;sd=true </t>
  </si>
  <si>
    <t>Kandiyohi [MN]</t>
  </si>
  <si>
    <t>Dawson</t>
  </si>
  <si>
    <t>Cayce</t>
  </si>
  <si>
    <t>San Quirino</t>
  </si>
  <si>
    <t>Saint-Bris-le-Vineux</t>
  </si>
  <si>
    <t>Peñas de San Pedro</t>
  </si>
  <si>
    <t>Văculeşti </t>
  </si>
  <si>
    <t>Columbia near Jackson [MS]</t>
  </si>
  <si>
    <t>Russelville [TN]</t>
  </si>
  <si>
    <t>Colorado springs [CO]</t>
  </si>
  <si>
    <t>Winnebago [MN]</t>
  </si>
  <si>
    <t>Weatherford [TX]</t>
  </si>
  <si>
    <t>Tolmin</t>
  </si>
  <si>
    <t>?</t>
  </si>
  <si>
    <t>Bellaria Igea Marina</t>
  </si>
  <si>
    <t>Ekalaka</t>
  </si>
  <si>
    <t>Virziens (zeme)</t>
  </si>
  <si>
    <t>Virziens (500hPa)</t>
  </si>
  <si>
    <t>Vēja ātrums (zeme, m/s)</t>
  </si>
  <si>
    <t>Vēja ātrums (500 hPa, m/s)</t>
  </si>
  <si>
    <t>S</t>
  </si>
  <si>
    <t>N</t>
  </si>
  <si>
    <t>NE</t>
  </si>
  <si>
    <t>W</t>
  </si>
  <si>
    <t>E</t>
  </si>
  <si>
    <t>SW</t>
  </si>
  <si>
    <t>SE</t>
  </si>
  <si>
    <t>NW</t>
  </si>
  <si>
    <t xml:space="preserve">Montelupone  </t>
  </si>
  <si>
    <t>Kula</t>
  </si>
  <si>
    <t>Bozhykiv</t>
  </si>
  <si>
    <t>Benkelman [NE]</t>
  </si>
  <si>
    <t>Mansfield [OH]</t>
  </si>
  <si>
    <t>Heinäjoki</t>
  </si>
  <si>
    <t>Cisco [TX]</t>
  </si>
  <si>
    <t>Castelfidardo</t>
  </si>
  <si>
    <t xml:space="preserve">Mazsalaca  </t>
  </si>
  <si>
    <t>Vicksburg [LA]</t>
  </si>
  <si>
    <t>Kyiv</t>
  </si>
  <si>
    <t>McGregor [MI]</t>
  </si>
  <si>
    <t>Merriman [NE]</t>
  </si>
  <si>
    <t>Vircava</t>
  </si>
  <si>
    <t>Sobrance</t>
  </si>
  <si>
    <t>Solonytsivka</t>
  </si>
  <si>
    <t>Napoli</t>
  </si>
  <si>
    <t>Omignano</t>
  </si>
  <si>
    <t>Niella Tanaro</t>
  </si>
  <si>
    <t>Nyon</t>
  </si>
  <si>
    <t>Modica</t>
  </si>
  <si>
    <t>Pimentel</t>
  </si>
  <si>
    <t>Leavenworth [KS]</t>
  </si>
  <si>
    <t>Potencionālais krusa grauda izmērs (cm) test</t>
  </si>
  <si>
    <t>Cherokee village [AR]</t>
  </si>
  <si>
    <t>Montecopiolo</t>
  </si>
  <si>
    <t>Casalecchio di Reno</t>
  </si>
  <si>
    <t>Întorsura Buzăului</t>
  </si>
  <si>
    <t>Brisighella</t>
  </si>
  <si>
    <t>Divide [CO]</t>
  </si>
  <si>
    <t>Valsts</t>
  </si>
  <si>
    <t>Jerseydale [CA]</t>
  </si>
  <si>
    <t>Tirkšliai</t>
  </si>
  <si>
    <t>Sissach</t>
  </si>
  <si>
    <t>Silea</t>
  </si>
  <si>
    <t>Ivrea</t>
  </si>
  <si>
    <t>Marsciano</t>
  </si>
  <si>
    <t>San Antonio [TX]</t>
  </si>
  <si>
    <t>Riells i Viabrea</t>
  </si>
  <si>
    <t>USA</t>
  </si>
  <si>
    <t>Columbia [MS]</t>
  </si>
  <si>
    <t>Carrolton [TX]</t>
  </si>
  <si>
    <t>Atlanta-Forestpark [GE]</t>
  </si>
  <si>
    <t>Latvia</t>
  </si>
  <si>
    <t>Poland</t>
  </si>
  <si>
    <t>Calgary [AB]</t>
  </si>
  <si>
    <t>Canada</t>
  </si>
  <si>
    <t>La porte city [IA]</t>
  </si>
  <si>
    <t>Dawson [MN]</t>
  </si>
  <si>
    <t>Italy</t>
  </si>
  <si>
    <t>Slovenia</t>
  </si>
  <si>
    <t>France</t>
  </si>
  <si>
    <t>Spain</t>
  </si>
  <si>
    <t>Romania</t>
  </si>
  <si>
    <t>Bulgaria</t>
  </si>
  <si>
    <t>Ukraine</t>
  </si>
  <si>
    <t>Finland</t>
  </si>
  <si>
    <t>Slovakia</t>
  </si>
  <si>
    <t>Switzerland</t>
  </si>
  <si>
    <t>Lithuania</t>
  </si>
  <si>
    <t>Margecany</t>
  </si>
  <si>
    <t>Yb</t>
  </si>
  <si>
    <t>Serbia</t>
  </si>
  <si>
    <t>Horw</t>
  </si>
  <si>
    <t>Olcnava</t>
  </si>
  <si>
    <t>Spišské Podhradie</t>
  </si>
  <si>
    <t>Bojszów</t>
  </si>
  <si>
    <t>Ujazd</t>
  </si>
  <si>
    <t>Nice</t>
  </si>
  <si>
    <t>Sabadell</t>
  </si>
  <si>
    <t>Loučky</t>
  </si>
  <si>
    <t>Czech Republic</t>
  </si>
  <si>
    <t>Vysoké Mýto</t>
  </si>
  <si>
    <t>Wałycz</t>
  </si>
  <si>
    <t>Lielgraudu krusas risks</t>
  </si>
  <si>
    <t>Stormsburg [NE]</t>
  </si>
  <si>
    <t>Anthony [NM]</t>
  </si>
  <si>
    <t>Lockhart [TX]</t>
  </si>
  <si>
    <t>Cayce [SC]</t>
  </si>
  <si>
    <t>Oyster Creek [TX]</t>
  </si>
  <si>
    <t>Marathon [ON]</t>
  </si>
  <si>
    <t>Santa Rosa [CA]</t>
  </si>
  <si>
    <t>Galveston Bay [TX]</t>
  </si>
  <si>
    <t>Ekalaka [MT]</t>
  </si>
  <si>
    <t>Brant [AB]</t>
  </si>
  <si>
    <t>Vēja grieziens (m/s)</t>
  </si>
  <si>
    <t>Albavilla</t>
  </si>
  <si>
    <t>Pocenia</t>
  </si>
  <si>
    <t>Son Serra De Marina</t>
  </si>
  <si>
    <t>Montorso Vicentino</t>
  </si>
  <si>
    <t>Cornuda</t>
  </si>
  <si>
    <t>Treviso</t>
  </si>
  <si>
    <t>San Zenone degli Ezzelini</t>
  </si>
  <si>
    <t>Sunland Park [NM]</t>
  </si>
  <si>
    <t>Johnson city [TN]</t>
  </si>
  <si>
    <t>Pinon Hills [CA]</t>
  </si>
  <si>
    <t>Belemont [AR]</t>
  </si>
  <si>
    <t>Moniga del Garda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</si>
</sst>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  <charset val="186"/>
    </font>
    <font>
      <b/>
      <sz val="11"/>
      <color theme="1"/>
      <name val="Arial"/>
      <family val="2"/>
    </font>
    <font>
      <u/>
      <sz val="11"/>
      <color theme="10"/>
      <name val="Calibri"/>
      <family val="2"/>
      <charset val="186"/>
      <scheme val="minor"/>
    </font>
    <font>
      <sz val="11"/>
      <color rgb="FF1F1F1F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/>
  </cellStyleXfs>
  <cellXfs count="31">
    <xf numFmtId="0" fontId="0" fillId="0" borderId="0" xfId="0"/>
    <xf numFmtId="0" fontId="1" fillId="0" borderId="0" xfId="1"/>
    <xf numFmtId="0" fontId="1" fillId="0" borderId="1" xfId="1" applyBorder="1"/>
    <xf numFmtId="14" fontId="1" fillId="0" borderId="1" xfId="1" applyNumberForma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1" fillId="2" borderId="1" xfId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/>
    <xf numFmtId="0" fontId="2" fillId="3" borderId="1" xfId="1" applyFont="1" applyFill="1" applyBorder="1" applyAlignment="1">
      <alignment horizontal="center" vertical="center" wrapText="1"/>
    </xf>
    <xf numFmtId="0" fontId="1" fillId="0" borderId="1" xfId="0" applyFont="1" applyBorder="1"/>
    <xf numFmtId="0" fontId="4" fillId="0" borderId="1" xfId="2" applyBorder="1"/>
    <xf numFmtId="0" fontId="0" fillId="0" borderId="2" xfId="0" applyBorder="1"/>
    <xf numFmtId="14" fontId="1" fillId="0" borderId="3" xfId="1" applyNumberFormat="1" applyBorder="1" applyAlignment="1">
      <alignment horizontal="center" vertical="center"/>
    </xf>
    <xf numFmtId="0" fontId="5" fillId="0" borderId="1" xfId="0" applyFont="1" applyBorder="1"/>
    <xf numFmtId="0" fontId="6" fillId="4" borderId="1" xfId="0" applyFont="1" applyFill="1" applyBorder="1" applyAlignment="1">
      <alignment vertical="center"/>
    </xf>
    <xf numFmtId="0" fontId="1" fillId="0" borderId="3" xfId="1" applyBorder="1"/>
    <xf numFmtId="0" fontId="3" fillId="5" borderId="1" xfId="0" applyFont="1" applyFill="1" applyBorder="1" applyAlignment="1">
      <alignment horizontal="center" vertical="center"/>
    </xf>
    <xf numFmtId="0" fontId="2" fillId="5" borderId="1" xfId="1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1" fillId="0" borderId="0" xfId="0" applyFont="1"/>
    <xf numFmtId="164" fontId="1" fillId="2" borderId="1" xfId="1" applyNumberForma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4" borderId="1" xfId="0" applyFill="1" applyBorder="1"/>
    <xf numFmtId="14" fontId="1" fillId="4" borderId="1" xfId="1" applyNumberFormat="1" applyFill="1" applyBorder="1" applyAlignment="1">
      <alignment horizontal="center" vertical="center"/>
    </xf>
    <xf numFmtId="0" fontId="1" fillId="4" borderId="1" xfId="1" applyFill="1" applyBorder="1"/>
    <xf numFmtId="0" fontId="1" fillId="4" borderId="3" xfId="1" applyFill="1" applyBorder="1"/>
    <xf numFmtId="0" fontId="0" fillId="4" borderId="1" xfId="0" applyFill="1" applyBorder="1" applyAlignment="1">
      <alignment wrapText="1"/>
    </xf>
  </cellXfs>
  <cellStyles count="3">
    <cellStyle name="Hyperlink" xfId="2" builtinId="8"/>
    <cellStyle name="Normal" xfId="0" builtinId="0"/>
    <cellStyle name="Normal 2" xfId="1" xr:uid="{7C17DFB6-E9DA-41D5-9B0A-16388866C525}"/>
  </cellStyles>
  <dxfs count="18"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 patternType="solid">
          <fgColor auto="1"/>
          <bgColor theme="9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70AD47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 patternType="solid">
          <fgColor auto="1"/>
          <bgColor theme="9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70AD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225516</xdr:colOff>
      <xdr:row>21</xdr:row>
      <xdr:rowOff>48409</xdr:rowOff>
    </xdr:from>
    <xdr:to>
      <xdr:col>25</xdr:col>
      <xdr:colOff>123266</xdr:colOff>
      <xdr:row>38</xdr:row>
      <xdr:rowOff>49376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395E655-C11A-45F4-C9FA-84EE17817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34340" y="4340262"/>
          <a:ext cx="5343808" cy="3048967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233419</xdr:colOff>
      <xdr:row>2</xdr:row>
      <xdr:rowOff>73072</xdr:rowOff>
    </xdr:from>
    <xdr:to>
      <xdr:col>25</xdr:col>
      <xdr:colOff>109595</xdr:colOff>
      <xdr:row>20</xdr:row>
      <xdr:rowOff>109032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08148FA-1846-7775-3E79-82992ADFE3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42243" y="958337"/>
          <a:ext cx="5322234" cy="3263254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docs.google.com/document/d/13jBL0zGBFnrpLuFpJ1O6rAzdySQ-rvtN/edit?usp=sharing&amp;ouid=106563521267158707088&amp;rtpof=true&amp;sd=tru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3jBL0zGBFnrpLuFpJ1O6rAzdySQ-rvtN/edit?usp=sharing&amp;ouid=106563521267158707088&amp;rtpof=true&amp;sd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75AA6-87F3-4E71-97C2-D88D3DC11441}">
  <dimension ref="A1:P114"/>
  <sheetViews>
    <sheetView tabSelected="1" topLeftCell="C1" zoomScale="85" zoomScaleNormal="85" workbookViewId="0">
      <pane ySplit="1" topLeftCell="A2" activePane="bottomLeft" state="frozen"/>
      <selection pane="bottomLeft" activeCell="P14" sqref="P14"/>
    </sheetView>
  </sheetViews>
  <sheetFormatPr defaultRowHeight="14.4" x14ac:dyDescent="0.3"/>
  <cols>
    <col min="1" max="1" width="27" customWidth="1"/>
    <col min="2" max="2" width="18.109375" customWidth="1"/>
    <col min="3" max="3" width="14.109375" customWidth="1"/>
    <col min="6" max="6" width="10.44140625" customWidth="1"/>
    <col min="7" max="7" width="10.77734375" customWidth="1"/>
    <col min="9" max="9" width="11.44140625" customWidth="1"/>
    <col min="10" max="10" width="10.33203125" customWidth="1"/>
    <col min="11" max="11" width="12.33203125" customWidth="1"/>
    <col min="12" max="12" width="11.21875" customWidth="1"/>
    <col min="13" max="13" width="13.44140625" customWidth="1"/>
    <col min="14" max="15" width="22.77734375" customWidth="1"/>
    <col min="16" max="16" width="33.77734375" customWidth="1"/>
  </cols>
  <sheetData>
    <row r="1" spans="1:16" ht="55.2" x14ac:dyDescent="0.3">
      <c r="A1" s="17" t="s">
        <v>0</v>
      </c>
      <c r="B1" s="18" t="s">
        <v>1</v>
      </c>
      <c r="C1" s="18" t="s">
        <v>99</v>
      </c>
      <c r="D1" s="18" t="s">
        <v>2</v>
      </c>
      <c r="E1" s="18" t="s">
        <v>3</v>
      </c>
      <c r="F1" s="18" t="s">
        <v>4</v>
      </c>
      <c r="G1" s="18" t="s">
        <v>59</v>
      </c>
      <c r="H1" s="18" t="s">
        <v>57</v>
      </c>
      <c r="I1" s="18" t="s">
        <v>60</v>
      </c>
      <c r="J1" s="19" t="s">
        <v>58</v>
      </c>
      <c r="K1" s="18" t="s">
        <v>154</v>
      </c>
      <c r="L1" s="18" t="s">
        <v>6</v>
      </c>
      <c r="M1" s="18" t="s">
        <v>7</v>
      </c>
      <c r="N1" s="18" t="s">
        <v>143</v>
      </c>
      <c r="O1" s="5" t="s">
        <v>92</v>
      </c>
      <c r="P1" s="9" t="s">
        <v>12</v>
      </c>
    </row>
    <row r="2" spans="1:16" x14ac:dyDescent="0.3">
      <c r="A2" s="14" t="s">
        <v>151</v>
      </c>
      <c r="B2" s="13">
        <v>45819</v>
      </c>
      <c r="C2" s="13" t="s">
        <v>108</v>
      </c>
      <c r="D2" s="2">
        <v>2530</v>
      </c>
      <c r="E2" s="2">
        <v>-8</v>
      </c>
      <c r="F2" s="2">
        <v>4400</v>
      </c>
      <c r="G2" s="2">
        <v>7</v>
      </c>
      <c r="H2" s="2" t="s">
        <v>61</v>
      </c>
      <c r="I2" s="2">
        <v>11</v>
      </c>
      <c r="J2" s="2" t="s">
        <v>66</v>
      </c>
      <c r="K2" s="16">
        <f t="shared" ref="K2:K33" si="0">SQRT((
   (-I2*SIN(IF(J2="N",0,IF(J2="NE",45,IF(J2="E",90,IF(J2="SE",135,IF(J2="S",180,IF(J2="SW",225,IF(J2="W",270,IF(J2="NW",315))))))))) -G2*SIN(IF(H2="N",0,IF(H2="NE",45,IF(H2="E",90,IF(H2="SE",135,IF(H2="S",180,IF(H2="SW",225,IF(H2="W",270,IF(H2="NW",315))))))))))^2)+
(-I2*COS(IF(J2="N",0,IF(J2="NE",45,IF(J2="E",90,IF(J2="SE",135,IF(J2="S",180,IF(J2="SW",225,IF(J2="W",270,IF(J2="NW",315))))))))) -G2*COS(IF(H2="N",0,IF(H2="NE",45,IF(H2="E",90,IF(H2="SE",135,IF(H2="S",180,IF(H2="SW",225,IF(H2="W",270,IF(H2="NW",315))))))))))^2)</f>
        <v>15.83981017177701</v>
      </c>
      <c r="L2" s="2">
        <v>38</v>
      </c>
      <c r="M2" s="6">
        <f t="shared" ref="M2:M33" si="1">SUM(IF(D2&gt;1000,2,0),IF(E2&lt;=-4,2,0),IF(F2&lt;=3000,1,0),IF(K2&gt;10,1,0),IF(L2&gt;=55,2,0))</f>
        <v>5</v>
      </c>
      <c r="N2" s="6" t="str">
        <f t="shared" ref="N2:N33" si="2">IF(M2&gt;=7,"Ļoti augsts",IF(M2&gt;=5,"Mērens-augsts",IF(M2&gt;=3,"Zems-mērens","Ļoti zems")))</f>
        <v>Mērens-augsts</v>
      </c>
      <c r="O2" s="21">
        <f t="shared" ref="O2:O33" si="3">ROUND(
 (IF(L2&lt;55,0.5,
   IF(L2&lt;60,2,
   IF(L2&lt;65,4,
   IF(L2&lt;70,6,
   IF(L2&lt;75,10,12))))) *
  MIN(2,1+(K2/20)) *
  IF(F2&lt;3000,3000/F2,1)),
 1
)</f>
        <v>0.9</v>
      </c>
      <c r="P2" s="11" t="s">
        <v>40</v>
      </c>
    </row>
    <row r="3" spans="1:16" x14ac:dyDescent="0.3">
      <c r="A3" s="10" t="s">
        <v>38</v>
      </c>
      <c r="B3" s="13">
        <v>45820</v>
      </c>
      <c r="C3" s="13" t="s">
        <v>108</v>
      </c>
      <c r="D3" s="2">
        <v>1955</v>
      </c>
      <c r="E3" s="2">
        <v>-8</v>
      </c>
      <c r="F3" s="2">
        <v>4400</v>
      </c>
      <c r="G3" s="2">
        <v>4</v>
      </c>
      <c r="H3" s="2" t="s">
        <v>67</v>
      </c>
      <c r="I3" s="2">
        <v>14</v>
      </c>
      <c r="J3" s="2" t="s">
        <v>66</v>
      </c>
      <c r="K3" s="16">
        <f t="shared" si="0"/>
        <v>12.720682174849465</v>
      </c>
      <c r="L3" s="2">
        <v>29</v>
      </c>
      <c r="M3" s="6">
        <f t="shared" si="1"/>
        <v>5</v>
      </c>
      <c r="N3" s="6" t="str">
        <f t="shared" si="2"/>
        <v>Mērens-augsts</v>
      </c>
      <c r="O3" s="21">
        <f t="shared" si="3"/>
        <v>0.8</v>
      </c>
      <c r="P3" s="8"/>
    </row>
    <row r="4" spans="1:16" x14ac:dyDescent="0.3">
      <c r="A4" s="8" t="s">
        <v>39</v>
      </c>
      <c r="B4" s="13">
        <v>45821</v>
      </c>
      <c r="C4" s="13" t="s">
        <v>128</v>
      </c>
      <c r="D4" s="2">
        <v>417</v>
      </c>
      <c r="E4" s="2">
        <v>-2</v>
      </c>
      <c r="F4" s="2">
        <v>3200</v>
      </c>
      <c r="G4" s="2">
        <v>6</v>
      </c>
      <c r="H4" s="2" t="s">
        <v>61</v>
      </c>
      <c r="I4" s="2">
        <v>19</v>
      </c>
      <c r="J4" s="2" t="s">
        <v>66</v>
      </c>
      <c r="K4" s="16">
        <f t="shared" si="0"/>
        <v>22.732650823219945</v>
      </c>
      <c r="L4" s="2">
        <v>53</v>
      </c>
      <c r="M4" s="6">
        <f t="shared" si="1"/>
        <v>1</v>
      </c>
      <c r="N4" s="6" t="str">
        <f t="shared" si="2"/>
        <v>Ļoti zems</v>
      </c>
      <c r="O4" s="21">
        <f t="shared" si="3"/>
        <v>1</v>
      </c>
      <c r="P4" s="8"/>
    </row>
    <row r="5" spans="1:16" x14ac:dyDescent="0.3">
      <c r="A5" s="10"/>
      <c r="B5" s="13">
        <v>45822</v>
      </c>
      <c r="C5" s="13"/>
      <c r="D5" s="2"/>
      <c r="E5" s="2"/>
      <c r="F5" s="2"/>
      <c r="G5" s="2"/>
      <c r="H5" s="2"/>
      <c r="I5" s="2"/>
      <c r="J5" s="2"/>
      <c r="K5" s="16">
        <f t="shared" si="0"/>
        <v>0</v>
      </c>
      <c r="L5" s="2"/>
      <c r="M5" s="6">
        <f t="shared" si="1"/>
        <v>1</v>
      </c>
      <c r="N5" s="6" t="str">
        <f t="shared" si="2"/>
        <v>Ļoti zems</v>
      </c>
      <c r="O5" s="21" t="e">
        <f t="shared" si="3"/>
        <v>#DIV/0!</v>
      </c>
      <c r="P5" s="8"/>
    </row>
    <row r="6" spans="1:16" x14ac:dyDescent="0.3">
      <c r="A6" s="8" t="s">
        <v>52</v>
      </c>
      <c r="B6" s="13">
        <v>45823</v>
      </c>
      <c r="C6" s="13" t="s">
        <v>108</v>
      </c>
      <c r="D6" s="2">
        <v>2640</v>
      </c>
      <c r="E6" s="2">
        <v>-8</v>
      </c>
      <c r="F6" s="2">
        <v>4700</v>
      </c>
      <c r="G6" s="2">
        <v>5</v>
      </c>
      <c r="H6" s="2" t="s">
        <v>61</v>
      </c>
      <c r="I6" s="2">
        <v>13</v>
      </c>
      <c r="J6" s="2" t="s">
        <v>62</v>
      </c>
      <c r="K6" s="16">
        <f t="shared" si="0"/>
        <v>10.779619242926831</v>
      </c>
      <c r="L6" s="2">
        <v>47</v>
      </c>
      <c r="M6" s="6">
        <f t="shared" si="1"/>
        <v>5</v>
      </c>
      <c r="N6" s="6" t="str">
        <f t="shared" si="2"/>
        <v>Mērens-augsts</v>
      </c>
      <c r="O6" s="21">
        <f t="shared" si="3"/>
        <v>0.8</v>
      </c>
      <c r="P6" s="8"/>
    </row>
    <row r="7" spans="1:16" x14ac:dyDescent="0.3">
      <c r="A7" s="10" t="s">
        <v>51</v>
      </c>
      <c r="B7" s="13">
        <v>45824</v>
      </c>
      <c r="C7" s="13" t="s">
        <v>108</v>
      </c>
      <c r="D7" s="2">
        <v>3704</v>
      </c>
      <c r="E7" s="2">
        <v>-8</v>
      </c>
      <c r="F7" s="2">
        <v>4400</v>
      </c>
      <c r="G7" s="2">
        <v>7</v>
      </c>
      <c r="H7" s="2" t="s">
        <v>61</v>
      </c>
      <c r="I7" s="2">
        <v>17</v>
      </c>
      <c r="J7" s="2" t="s">
        <v>64</v>
      </c>
      <c r="K7" s="16">
        <f t="shared" si="0"/>
        <v>15.210472686976479</v>
      </c>
      <c r="L7" s="2">
        <v>0</v>
      </c>
      <c r="M7" s="6">
        <f t="shared" si="1"/>
        <v>5</v>
      </c>
      <c r="N7" s="6" t="str">
        <f t="shared" si="2"/>
        <v>Mērens-augsts</v>
      </c>
      <c r="O7" s="21">
        <f t="shared" si="3"/>
        <v>0.9</v>
      </c>
      <c r="P7" s="8"/>
    </row>
    <row r="8" spans="1:16" x14ac:dyDescent="0.3">
      <c r="A8" s="15" t="s">
        <v>50</v>
      </c>
      <c r="B8" s="13">
        <v>45825</v>
      </c>
      <c r="C8" s="13" t="s">
        <v>108</v>
      </c>
      <c r="D8" s="2">
        <v>956</v>
      </c>
      <c r="E8" s="2">
        <v>-5</v>
      </c>
      <c r="F8" s="2">
        <v>4500</v>
      </c>
      <c r="G8" s="2">
        <v>2</v>
      </c>
      <c r="H8" s="2" t="s">
        <v>66</v>
      </c>
      <c r="I8" s="2">
        <v>15</v>
      </c>
      <c r="J8" s="2" t="s">
        <v>64</v>
      </c>
      <c r="K8" s="16">
        <f t="shared" si="0"/>
        <v>16.140610872239741</v>
      </c>
      <c r="L8" s="2">
        <v>54</v>
      </c>
      <c r="M8" s="6">
        <f t="shared" si="1"/>
        <v>3</v>
      </c>
      <c r="N8" s="6" t="str">
        <f t="shared" si="2"/>
        <v>Zems-mērens</v>
      </c>
      <c r="O8" s="21">
        <f t="shared" si="3"/>
        <v>0.9</v>
      </c>
      <c r="P8" s="8"/>
    </row>
    <row r="9" spans="1:16" x14ac:dyDescent="0.3">
      <c r="A9" s="8" t="s">
        <v>49</v>
      </c>
      <c r="B9" s="13">
        <v>45826</v>
      </c>
      <c r="C9" s="13" t="s">
        <v>108</v>
      </c>
      <c r="D9" s="2">
        <v>2252</v>
      </c>
      <c r="E9" s="2">
        <v>-7</v>
      </c>
      <c r="F9" s="2">
        <v>4500</v>
      </c>
      <c r="G9" s="2">
        <v>6</v>
      </c>
      <c r="H9" s="2" t="s">
        <v>66</v>
      </c>
      <c r="I9" s="2">
        <v>17</v>
      </c>
      <c r="J9" s="2" t="s">
        <v>66</v>
      </c>
      <c r="K9" s="16">
        <f t="shared" si="0"/>
        <v>23</v>
      </c>
      <c r="L9" s="2">
        <v>60</v>
      </c>
      <c r="M9" s="6">
        <f t="shared" si="1"/>
        <v>7</v>
      </c>
      <c r="N9" s="6" t="str">
        <f t="shared" si="2"/>
        <v>Ļoti augsts</v>
      </c>
      <c r="O9" s="21">
        <f t="shared" si="3"/>
        <v>8</v>
      </c>
      <c r="P9" s="8"/>
    </row>
    <row r="10" spans="1:16" x14ac:dyDescent="0.3">
      <c r="A10" s="8" t="s">
        <v>9</v>
      </c>
      <c r="B10" s="13">
        <v>45827</v>
      </c>
      <c r="C10" s="13" t="s">
        <v>108</v>
      </c>
      <c r="D10" s="2">
        <v>1428</v>
      </c>
      <c r="E10" s="2">
        <v>-3</v>
      </c>
      <c r="F10" s="2">
        <v>4300</v>
      </c>
      <c r="G10" s="2">
        <v>1</v>
      </c>
      <c r="H10" s="2" t="s">
        <v>64</v>
      </c>
      <c r="I10" s="2">
        <v>23</v>
      </c>
      <c r="J10" s="2" t="s">
        <v>66</v>
      </c>
      <c r="K10" s="16">
        <f t="shared" si="0"/>
        <v>23.540705416057854</v>
      </c>
      <c r="L10" s="2">
        <v>47</v>
      </c>
      <c r="M10" s="6">
        <f t="shared" si="1"/>
        <v>3</v>
      </c>
      <c r="N10" s="6" t="str">
        <f t="shared" si="2"/>
        <v>Zems-mērens</v>
      </c>
      <c r="O10" s="21">
        <f t="shared" si="3"/>
        <v>1</v>
      </c>
      <c r="P10" s="8"/>
    </row>
    <row r="11" spans="1:16" x14ac:dyDescent="0.3">
      <c r="A11" s="8" t="s">
        <v>152</v>
      </c>
      <c r="B11" s="13">
        <v>45828</v>
      </c>
      <c r="C11" s="13" t="s">
        <v>108</v>
      </c>
      <c r="D11" s="2">
        <v>1467</v>
      </c>
      <c r="E11" s="2">
        <v>-5</v>
      </c>
      <c r="F11" s="2">
        <v>4600</v>
      </c>
      <c r="G11" s="2">
        <v>3</v>
      </c>
      <c r="H11" s="2" t="s">
        <v>67</v>
      </c>
      <c r="I11" s="2">
        <v>14</v>
      </c>
      <c r="J11" s="2" t="s">
        <v>67</v>
      </c>
      <c r="K11" s="16">
        <f t="shared" si="0"/>
        <v>17</v>
      </c>
      <c r="L11" s="2">
        <v>58</v>
      </c>
      <c r="M11" s="6">
        <f t="shared" si="1"/>
        <v>7</v>
      </c>
      <c r="N11" s="6" t="str">
        <f t="shared" si="2"/>
        <v>Ļoti augsts</v>
      </c>
      <c r="O11" s="21">
        <f t="shared" si="3"/>
        <v>3.7</v>
      </c>
      <c r="P11" s="8"/>
    </row>
    <row r="12" spans="1:16" x14ac:dyDescent="0.3">
      <c r="A12" s="8" t="s">
        <v>109</v>
      </c>
      <c r="B12" s="13">
        <v>45829</v>
      </c>
      <c r="C12" s="13" t="s">
        <v>108</v>
      </c>
      <c r="D12" s="2">
        <v>1808</v>
      </c>
      <c r="E12" s="2">
        <v>-5</v>
      </c>
      <c r="F12" s="2">
        <v>4800</v>
      </c>
      <c r="G12" s="2">
        <v>3</v>
      </c>
      <c r="H12" s="2" t="s">
        <v>61</v>
      </c>
      <c r="I12" s="2">
        <v>5</v>
      </c>
      <c r="J12" s="2" t="s">
        <v>67</v>
      </c>
      <c r="K12" s="16">
        <f t="shared" si="0"/>
        <v>7.054052712060769</v>
      </c>
      <c r="L12" s="2">
        <v>55</v>
      </c>
      <c r="M12" s="6">
        <f t="shared" si="1"/>
        <v>6</v>
      </c>
      <c r="N12" s="6" t="str">
        <f t="shared" si="2"/>
        <v>Mērens-augsts</v>
      </c>
      <c r="O12" s="21">
        <f t="shared" si="3"/>
        <v>2.7</v>
      </c>
      <c r="P12" s="8"/>
    </row>
    <row r="13" spans="1:16" x14ac:dyDescent="0.3">
      <c r="A13" s="8" t="s">
        <v>150</v>
      </c>
      <c r="B13" s="13">
        <v>45830</v>
      </c>
      <c r="C13" s="13" t="s">
        <v>108</v>
      </c>
      <c r="D13" s="2">
        <v>178</v>
      </c>
      <c r="E13" s="2">
        <v>-2</v>
      </c>
      <c r="F13" s="2">
        <v>4900</v>
      </c>
      <c r="G13" s="2">
        <v>8</v>
      </c>
      <c r="H13" s="2" t="s">
        <v>61</v>
      </c>
      <c r="I13" s="2">
        <v>17</v>
      </c>
      <c r="J13" s="2" t="s">
        <v>66</v>
      </c>
      <c r="K13" s="16">
        <f t="shared" si="0"/>
        <v>22.268533426304085</v>
      </c>
      <c r="L13" s="2">
        <v>56</v>
      </c>
      <c r="M13" s="6">
        <f t="shared" si="1"/>
        <v>3</v>
      </c>
      <c r="N13" s="6" t="str">
        <f t="shared" si="2"/>
        <v>Zems-mērens</v>
      </c>
      <c r="O13" s="21">
        <f t="shared" si="3"/>
        <v>4</v>
      </c>
      <c r="P13" s="8"/>
    </row>
    <row r="14" spans="1:16" x14ac:dyDescent="0.3">
      <c r="A14" s="8" t="s">
        <v>149</v>
      </c>
      <c r="B14" s="13">
        <v>45831</v>
      </c>
      <c r="C14" s="13" t="s">
        <v>115</v>
      </c>
      <c r="D14" s="2">
        <v>2273</v>
      </c>
      <c r="E14" s="2">
        <v>-9</v>
      </c>
      <c r="F14" s="2">
        <v>4900</v>
      </c>
      <c r="G14" s="2">
        <v>5</v>
      </c>
      <c r="H14" s="2" t="s">
        <v>65</v>
      </c>
      <c r="I14" s="2">
        <v>16</v>
      </c>
      <c r="J14" s="2" t="s">
        <v>64</v>
      </c>
      <c r="K14" s="16">
        <f t="shared" si="0"/>
        <v>13.610524932960619</v>
      </c>
      <c r="L14" s="2">
        <v>50</v>
      </c>
      <c r="M14" s="6">
        <f t="shared" si="1"/>
        <v>5</v>
      </c>
      <c r="N14" s="6" t="str">
        <f t="shared" si="2"/>
        <v>Mērens-augsts</v>
      </c>
      <c r="O14" s="21">
        <f t="shared" si="3"/>
        <v>0.8</v>
      </c>
      <c r="P14" s="8"/>
    </row>
    <row r="15" spans="1:16" x14ac:dyDescent="0.3">
      <c r="A15" s="8" t="s">
        <v>11</v>
      </c>
      <c r="B15" s="13">
        <v>45832</v>
      </c>
      <c r="C15" s="13" t="s">
        <v>108</v>
      </c>
      <c r="D15" s="2">
        <v>1147</v>
      </c>
      <c r="E15" s="2">
        <v>-4</v>
      </c>
      <c r="F15" s="2">
        <v>4300</v>
      </c>
      <c r="G15" s="2">
        <v>1</v>
      </c>
      <c r="H15" s="2" t="s">
        <v>65</v>
      </c>
      <c r="I15" s="2">
        <v>15</v>
      </c>
      <c r="J15" s="2" t="s">
        <v>66</v>
      </c>
      <c r="K15" s="16">
        <f t="shared" si="0"/>
        <v>14.004190977909595</v>
      </c>
      <c r="L15" s="2">
        <v>56</v>
      </c>
      <c r="M15" s="6">
        <f t="shared" si="1"/>
        <v>7</v>
      </c>
      <c r="N15" s="6" t="str">
        <f t="shared" si="2"/>
        <v>Ļoti augsts</v>
      </c>
      <c r="O15" s="21">
        <f t="shared" si="3"/>
        <v>3.4</v>
      </c>
      <c r="P15" s="8"/>
    </row>
    <row r="16" spans="1:16" x14ac:dyDescent="0.3">
      <c r="A16" s="8" t="s">
        <v>13</v>
      </c>
      <c r="B16" s="13">
        <v>45833</v>
      </c>
      <c r="C16" s="13" t="s">
        <v>108</v>
      </c>
      <c r="D16" s="2">
        <v>1891</v>
      </c>
      <c r="E16" s="2">
        <v>-5</v>
      </c>
      <c r="F16" s="2">
        <v>4400</v>
      </c>
      <c r="G16" s="2">
        <v>1</v>
      </c>
      <c r="H16" s="2" t="s">
        <v>65</v>
      </c>
      <c r="I16" s="2">
        <v>9</v>
      </c>
      <c r="J16" s="2" t="s">
        <v>63</v>
      </c>
      <c r="K16" s="16">
        <f t="shared" si="0"/>
        <v>9.5632523651067132</v>
      </c>
      <c r="L16" s="2">
        <v>65</v>
      </c>
      <c r="M16" s="6">
        <f t="shared" si="1"/>
        <v>6</v>
      </c>
      <c r="N16" s="6" t="str">
        <f t="shared" si="2"/>
        <v>Mērens-augsts</v>
      </c>
      <c r="O16" s="21">
        <f t="shared" si="3"/>
        <v>8.9</v>
      </c>
      <c r="P16" s="8"/>
    </row>
    <row r="17" spans="1:16" x14ac:dyDescent="0.3">
      <c r="A17" s="8" t="s">
        <v>110</v>
      </c>
      <c r="B17" s="13">
        <v>45834</v>
      </c>
      <c r="C17" s="13" t="s">
        <v>108</v>
      </c>
      <c r="D17" s="2">
        <v>1266</v>
      </c>
      <c r="E17" s="2">
        <v>-6</v>
      </c>
      <c r="F17" s="2">
        <v>4500</v>
      </c>
      <c r="G17" s="2">
        <v>1</v>
      </c>
      <c r="H17" s="2" t="s">
        <v>67</v>
      </c>
      <c r="I17" s="2">
        <v>9</v>
      </c>
      <c r="J17" s="2" t="s">
        <v>65</v>
      </c>
      <c r="K17" s="16">
        <f t="shared" si="0"/>
        <v>9.5632523651067114</v>
      </c>
      <c r="L17" s="2">
        <v>55</v>
      </c>
      <c r="M17" s="6">
        <f t="shared" si="1"/>
        <v>6</v>
      </c>
      <c r="N17" s="6" t="str">
        <f t="shared" si="2"/>
        <v>Mērens-augsts</v>
      </c>
      <c r="O17" s="21">
        <f t="shared" si="3"/>
        <v>3</v>
      </c>
      <c r="P17" s="8"/>
    </row>
    <row r="18" spans="1:16" x14ac:dyDescent="0.3">
      <c r="A18" s="8" t="s">
        <v>111</v>
      </c>
      <c r="B18" s="3">
        <v>45835</v>
      </c>
      <c r="C18" s="3" t="s">
        <v>108</v>
      </c>
      <c r="D18" s="2">
        <v>1850</v>
      </c>
      <c r="E18" s="2">
        <v>-5</v>
      </c>
      <c r="F18" s="2">
        <v>4600</v>
      </c>
      <c r="G18" s="2">
        <v>3</v>
      </c>
      <c r="H18" s="2" t="s">
        <v>64</v>
      </c>
      <c r="I18" s="2">
        <v>6</v>
      </c>
      <c r="J18" s="2" t="s">
        <v>65</v>
      </c>
      <c r="K18" s="16">
        <f t="shared" si="0"/>
        <v>4.8430814069058448</v>
      </c>
      <c r="L18" s="2">
        <v>65</v>
      </c>
      <c r="M18" s="6">
        <f t="shared" si="1"/>
        <v>6</v>
      </c>
      <c r="N18" s="6" t="str">
        <f t="shared" si="2"/>
        <v>Mērens-augsts</v>
      </c>
      <c r="O18" s="21">
        <f t="shared" si="3"/>
        <v>7.5</v>
      </c>
      <c r="P18" s="8"/>
    </row>
    <row r="19" spans="1:16" x14ac:dyDescent="0.3">
      <c r="A19" s="8" t="s">
        <v>153</v>
      </c>
      <c r="B19" s="3">
        <v>45836</v>
      </c>
      <c r="C19" s="3" t="s">
        <v>115</v>
      </c>
      <c r="D19" s="2">
        <v>371</v>
      </c>
      <c r="E19" s="2">
        <v>-3</v>
      </c>
      <c r="F19" s="2">
        <v>3200</v>
      </c>
      <c r="G19" s="2">
        <v>2</v>
      </c>
      <c r="H19" s="2" t="s">
        <v>68</v>
      </c>
      <c r="I19" s="2">
        <v>10</v>
      </c>
      <c r="J19" s="2" t="s">
        <v>64</v>
      </c>
      <c r="K19" s="16">
        <f t="shared" si="0"/>
        <v>11.180915863770247</v>
      </c>
      <c r="L19" s="2">
        <v>57</v>
      </c>
      <c r="M19" s="6">
        <f t="shared" si="1"/>
        <v>3</v>
      </c>
      <c r="N19" s="6" t="str">
        <f t="shared" si="2"/>
        <v>Zems-mērens</v>
      </c>
      <c r="O19" s="21">
        <f t="shared" si="3"/>
        <v>3.1</v>
      </c>
      <c r="P19" s="8"/>
    </row>
    <row r="20" spans="1:16" x14ac:dyDescent="0.3">
      <c r="A20" s="8" t="s">
        <v>18</v>
      </c>
      <c r="B20" s="3">
        <v>45837</v>
      </c>
      <c r="C20" s="3" t="s">
        <v>108</v>
      </c>
      <c r="D20" s="2">
        <v>2018</v>
      </c>
      <c r="E20" s="2">
        <v>-6</v>
      </c>
      <c r="F20" s="2">
        <v>4600</v>
      </c>
      <c r="G20" s="2">
        <v>3</v>
      </c>
      <c r="H20" s="2" t="s">
        <v>63</v>
      </c>
      <c r="I20" s="2">
        <v>13</v>
      </c>
      <c r="J20" s="2" t="s">
        <v>64</v>
      </c>
      <c r="K20" s="16">
        <f t="shared" si="0"/>
        <v>14.375357758433671</v>
      </c>
      <c r="L20" s="2">
        <v>56</v>
      </c>
      <c r="M20" s="6">
        <f t="shared" si="1"/>
        <v>7</v>
      </c>
      <c r="N20" s="6" t="str">
        <f t="shared" si="2"/>
        <v>Ļoti augsts</v>
      </c>
      <c r="O20" s="21">
        <f t="shared" si="3"/>
        <v>3.4</v>
      </c>
      <c r="P20" s="8"/>
    </row>
    <row r="21" spans="1:16" x14ac:dyDescent="0.3">
      <c r="A21" s="8" t="s">
        <v>19</v>
      </c>
      <c r="B21" s="3">
        <v>45838</v>
      </c>
      <c r="C21" s="3" t="s">
        <v>108</v>
      </c>
      <c r="D21" s="2">
        <v>2191</v>
      </c>
      <c r="E21" s="2">
        <v>-6</v>
      </c>
      <c r="F21" s="2">
        <v>4900</v>
      </c>
      <c r="G21" s="2">
        <v>2</v>
      </c>
      <c r="H21" s="2" t="s">
        <v>65</v>
      </c>
      <c r="I21" s="2">
        <v>10</v>
      </c>
      <c r="J21" s="2" t="s">
        <v>64</v>
      </c>
      <c r="K21" s="16">
        <f t="shared" si="0"/>
        <v>8.9477146376985939</v>
      </c>
      <c r="L21" s="2">
        <v>56</v>
      </c>
      <c r="M21" s="6">
        <f t="shared" si="1"/>
        <v>6</v>
      </c>
      <c r="N21" s="6" t="str">
        <f t="shared" si="2"/>
        <v>Mērens-augsts</v>
      </c>
      <c r="O21" s="21">
        <f t="shared" si="3"/>
        <v>2.9</v>
      </c>
      <c r="P21" s="8"/>
    </row>
    <row r="22" spans="1:16" x14ac:dyDescent="0.3">
      <c r="A22" s="8" t="s">
        <v>144</v>
      </c>
      <c r="B22" s="3">
        <v>45839</v>
      </c>
      <c r="C22" s="3" t="s">
        <v>108</v>
      </c>
      <c r="D22" s="2">
        <v>2318</v>
      </c>
      <c r="E22" s="2">
        <v>-3</v>
      </c>
      <c r="F22" s="2">
        <v>4600</v>
      </c>
      <c r="G22" s="2">
        <v>4</v>
      </c>
      <c r="H22" s="2" t="s">
        <v>61</v>
      </c>
      <c r="I22" s="2">
        <v>9</v>
      </c>
      <c r="J22" s="2" t="s">
        <v>62</v>
      </c>
      <c r="K22" s="16">
        <f t="shared" si="0"/>
        <v>7.3424025378505515</v>
      </c>
      <c r="L22" s="2">
        <v>53</v>
      </c>
      <c r="M22" s="6">
        <f t="shared" si="1"/>
        <v>2</v>
      </c>
      <c r="N22" s="6" t="str">
        <f t="shared" si="2"/>
        <v>Ļoti zems</v>
      </c>
      <c r="O22" s="21">
        <f t="shared" si="3"/>
        <v>0.7</v>
      </c>
      <c r="P22" s="8"/>
    </row>
    <row r="23" spans="1:16" x14ac:dyDescent="0.3">
      <c r="A23" s="8" t="s">
        <v>21</v>
      </c>
      <c r="B23" s="3">
        <v>45840</v>
      </c>
      <c r="C23" s="3" t="s">
        <v>108</v>
      </c>
      <c r="D23" s="2">
        <v>1690</v>
      </c>
      <c r="E23" s="2">
        <v>-6</v>
      </c>
      <c r="F23" s="2">
        <v>3900</v>
      </c>
      <c r="G23" s="2">
        <v>4</v>
      </c>
      <c r="H23" s="2" t="s">
        <v>68</v>
      </c>
      <c r="I23" s="2">
        <v>16</v>
      </c>
      <c r="J23" s="2" t="s">
        <v>68</v>
      </c>
      <c r="K23" s="16">
        <f t="shared" si="0"/>
        <v>20</v>
      </c>
      <c r="L23" s="2">
        <v>55</v>
      </c>
      <c r="M23" s="6">
        <f t="shared" si="1"/>
        <v>7</v>
      </c>
      <c r="N23" s="6" t="str">
        <f t="shared" si="2"/>
        <v>Ļoti augsts</v>
      </c>
      <c r="O23" s="21">
        <f t="shared" si="3"/>
        <v>4</v>
      </c>
      <c r="P23" s="8"/>
    </row>
    <row r="24" spans="1:16" x14ac:dyDescent="0.3">
      <c r="A24" s="8" t="s">
        <v>22</v>
      </c>
      <c r="B24" s="3">
        <v>45841</v>
      </c>
      <c r="C24" s="3" t="s">
        <v>108</v>
      </c>
      <c r="D24" s="2">
        <v>1387</v>
      </c>
      <c r="E24" s="2">
        <v>-3</v>
      </c>
      <c r="F24" s="2">
        <v>3900</v>
      </c>
      <c r="G24" s="2">
        <v>3</v>
      </c>
      <c r="H24" s="2" t="s">
        <v>64</v>
      </c>
      <c r="I24" s="2">
        <v>21</v>
      </c>
      <c r="J24" s="2" t="s">
        <v>66</v>
      </c>
      <c r="K24" s="16">
        <f t="shared" si="0"/>
        <v>22.719827697212718</v>
      </c>
      <c r="L24" s="2">
        <v>51</v>
      </c>
      <c r="M24" s="6">
        <f t="shared" si="1"/>
        <v>3</v>
      </c>
      <c r="N24" s="6" t="str">
        <f t="shared" si="2"/>
        <v>Zems-mērens</v>
      </c>
      <c r="O24" s="21">
        <f t="shared" si="3"/>
        <v>1</v>
      </c>
      <c r="P24" s="8"/>
    </row>
    <row r="25" spans="1:16" x14ac:dyDescent="0.3">
      <c r="A25" s="8" t="s">
        <v>146</v>
      </c>
      <c r="B25" s="3">
        <v>45842</v>
      </c>
      <c r="C25" s="3" t="s">
        <v>108</v>
      </c>
      <c r="D25" s="2">
        <v>1256</v>
      </c>
      <c r="E25" s="2">
        <v>-4</v>
      </c>
      <c r="F25" s="2">
        <v>5200</v>
      </c>
      <c r="G25" s="2">
        <v>3</v>
      </c>
      <c r="H25" s="2" t="s">
        <v>67</v>
      </c>
      <c r="I25" s="2">
        <v>12</v>
      </c>
      <c r="J25" s="2" t="s">
        <v>62</v>
      </c>
      <c r="K25" s="16">
        <f t="shared" si="0"/>
        <v>9.0156350785640544</v>
      </c>
      <c r="L25" s="2">
        <v>56</v>
      </c>
      <c r="M25" s="6">
        <f t="shared" si="1"/>
        <v>6</v>
      </c>
      <c r="N25" s="6" t="str">
        <f t="shared" si="2"/>
        <v>Mērens-augsts</v>
      </c>
      <c r="O25" s="21">
        <f t="shared" si="3"/>
        <v>2.9</v>
      </c>
      <c r="P25" s="8"/>
    </row>
    <row r="26" spans="1:16" x14ac:dyDescent="0.3">
      <c r="A26" s="8" t="s">
        <v>24</v>
      </c>
      <c r="B26" s="3">
        <v>45843</v>
      </c>
      <c r="C26" s="3" t="s">
        <v>108</v>
      </c>
      <c r="D26" s="2">
        <v>1996</v>
      </c>
      <c r="E26" s="2">
        <v>-4</v>
      </c>
      <c r="F26" s="2">
        <v>5100</v>
      </c>
      <c r="G26" s="2">
        <v>3</v>
      </c>
      <c r="H26" s="2" t="s">
        <v>65</v>
      </c>
      <c r="I26" s="2">
        <v>8</v>
      </c>
      <c r="J26" s="2" t="s">
        <v>68</v>
      </c>
      <c r="K26" s="16">
        <f t="shared" si="0"/>
        <v>9.5200488260854925</v>
      </c>
      <c r="L26" s="2">
        <v>59</v>
      </c>
      <c r="M26" s="6">
        <f t="shared" si="1"/>
        <v>6</v>
      </c>
      <c r="N26" s="6" t="str">
        <f t="shared" si="2"/>
        <v>Mērens-augsts</v>
      </c>
      <c r="O26" s="21">
        <f t="shared" si="3"/>
        <v>3</v>
      </c>
      <c r="P26" s="8"/>
    </row>
    <row r="27" spans="1:16" x14ac:dyDescent="0.3">
      <c r="A27" s="8" t="s">
        <v>25</v>
      </c>
      <c r="B27" s="3">
        <v>45844</v>
      </c>
      <c r="C27" s="3" t="s">
        <v>108</v>
      </c>
      <c r="D27" s="2">
        <v>2300</v>
      </c>
      <c r="E27" s="2">
        <v>-5</v>
      </c>
      <c r="F27" s="2">
        <v>4800</v>
      </c>
      <c r="G27" s="2">
        <v>3</v>
      </c>
      <c r="H27" s="2" t="s">
        <v>67</v>
      </c>
      <c r="I27" s="2">
        <v>7</v>
      </c>
      <c r="J27" s="2" t="s">
        <v>62</v>
      </c>
      <c r="K27" s="16">
        <f t="shared" si="0"/>
        <v>4.0204864039156041</v>
      </c>
      <c r="L27" s="2">
        <v>48</v>
      </c>
      <c r="M27" s="6">
        <f t="shared" si="1"/>
        <v>4</v>
      </c>
      <c r="N27" s="6" t="str">
        <f t="shared" si="2"/>
        <v>Zems-mērens</v>
      </c>
      <c r="O27" s="21">
        <f t="shared" si="3"/>
        <v>0.6</v>
      </c>
      <c r="P27" s="8"/>
    </row>
    <row r="28" spans="1:16" x14ac:dyDescent="0.3">
      <c r="A28" s="8" t="s">
        <v>145</v>
      </c>
      <c r="B28" s="3">
        <v>45845</v>
      </c>
      <c r="C28" s="3" t="s">
        <v>108</v>
      </c>
      <c r="D28" s="2">
        <v>439</v>
      </c>
      <c r="E28" s="2">
        <v>-4</v>
      </c>
      <c r="F28" s="2">
        <v>5200</v>
      </c>
      <c r="G28" s="2">
        <v>4</v>
      </c>
      <c r="H28" s="2" t="s">
        <v>67</v>
      </c>
      <c r="I28" s="2">
        <v>5</v>
      </c>
      <c r="J28" s="2" t="s">
        <v>62</v>
      </c>
      <c r="K28" s="16">
        <f t="shared" si="0"/>
        <v>1.0754006668923921</v>
      </c>
      <c r="L28" s="2">
        <v>46</v>
      </c>
      <c r="M28" s="6">
        <f t="shared" si="1"/>
        <v>2</v>
      </c>
      <c r="N28" s="6" t="str">
        <f t="shared" si="2"/>
        <v>Ļoti zems</v>
      </c>
      <c r="O28" s="21">
        <f t="shared" si="3"/>
        <v>0.5</v>
      </c>
      <c r="P28" s="8"/>
    </row>
    <row r="29" spans="1:16" x14ac:dyDescent="0.3">
      <c r="A29" s="8" t="s">
        <v>27</v>
      </c>
      <c r="B29" s="3">
        <v>45846</v>
      </c>
      <c r="C29" s="3" t="s">
        <v>108</v>
      </c>
      <c r="D29" s="2">
        <v>2590</v>
      </c>
      <c r="E29" s="2">
        <v>-7</v>
      </c>
      <c r="F29" s="2">
        <v>4700</v>
      </c>
      <c r="G29" s="2">
        <v>3</v>
      </c>
      <c r="H29" s="2" t="s">
        <v>66</v>
      </c>
      <c r="I29" s="2">
        <v>9</v>
      </c>
      <c r="J29" s="2" t="s">
        <v>64</v>
      </c>
      <c r="K29" s="16">
        <f t="shared" si="0"/>
        <v>10.879677724829785</v>
      </c>
      <c r="L29" s="2">
        <v>57</v>
      </c>
      <c r="M29" s="6">
        <f t="shared" si="1"/>
        <v>7</v>
      </c>
      <c r="N29" s="6" t="str">
        <f t="shared" si="2"/>
        <v>Ļoti augsts</v>
      </c>
      <c r="O29" s="21">
        <f t="shared" si="3"/>
        <v>3.1</v>
      </c>
      <c r="P29" s="8"/>
    </row>
    <row r="30" spans="1:16" x14ac:dyDescent="0.3">
      <c r="A30" s="8" t="s">
        <v>147</v>
      </c>
      <c r="B30" s="3">
        <v>45847</v>
      </c>
      <c r="C30" s="3" t="s">
        <v>108</v>
      </c>
      <c r="D30" s="2">
        <v>1766</v>
      </c>
      <c r="E30" s="2">
        <v>-6</v>
      </c>
      <c r="F30" s="2">
        <v>4800</v>
      </c>
      <c r="G30" s="2">
        <v>3</v>
      </c>
      <c r="H30" s="2" t="s">
        <v>61</v>
      </c>
      <c r="I30" s="2">
        <v>2</v>
      </c>
      <c r="J30" s="2" t="s">
        <v>64</v>
      </c>
      <c r="K30" s="16">
        <f t="shared" si="0"/>
        <v>2.7609992043551834</v>
      </c>
      <c r="L30" s="2">
        <v>50</v>
      </c>
      <c r="M30" s="6">
        <f t="shared" si="1"/>
        <v>4</v>
      </c>
      <c r="N30" s="6" t="str">
        <f t="shared" si="2"/>
        <v>Zems-mērens</v>
      </c>
      <c r="O30" s="21">
        <f t="shared" si="3"/>
        <v>0.6</v>
      </c>
      <c r="P30" s="8"/>
    </row>
    <row r="31" spans="1:16" x14ac:dyDescent="0.3">
      <c r="A31" s="8" t="s">
        <v>148</v>
      </c>
      <c r="B31" s="3">
        <v>45848</v>
      </c>
      <c r="C31" s="3" t="s">
        <v>108</v>
      </c>
      <c r="D31" s="2">
        <v>1821</v>
      </c>
      <c r="E31" s="2">
        <v>-6</v>
      </c>
      <c r="F31" s="2">
        <v>3900</v>
      </c>
      <c r="G31" s="2">
        <v>3</v>
      </c>
      <c r="H31" s="2" t="s">
        <v>61</v>
      </c>
      <c r="I31" s="2">
        <v>27</v>
      </c>
      <c r="J31" s="2" t="s">
        <v>61</v>
      </c>
      <c r="K31" s="16">
        <f t="shared" si="0"/>
        <v>30</v>
      </c>
      <c r="L31" s="2">
        <v>49</v>
      </c>
      <c r="M31" s="6">
        <f t="shared" si="1"/>
        <v>5</v>
      </c>
      <c r="N31" s="6" t="str">
        <f t="shared" si="2"/>
        <v>Mērens-augsts</v>
      </c>
      <c r="O31" s="21">
        <f t="shared" si="3"/>
        <v>1</v>
      </c>
      <c r="P31" s="8"/>
    </row>
    <row r="32" spans="1:16" x14ac:dyDescent="0.3">
      <c r="A32" s="8" t="s">
        <v>29</v>
      </c>
      <c r="B32" s="3">
        <v>45849</v>
      </c>
      <c r="C32" s="3" t="s">
        <v>112</v>
      </c>
      <c r="D32" s="2">
        <v>2395</v>
      </c>
      <c r="E32" s="2">
        <v>-7</v>
      </c>
      <c r="F32" s="2">
        <v>3800</v>
      </c>
      <c r="G32" s="2">
        <v>5</v>
      </c>
      <c r="H32" s="2" t="s">
        <v>61</v>
      </c>
      <c r="I32" s="2">
        <v>20</v>
      </c>
      <c r="J32" s="2" t="s">
        <v>67</v>
      </c>
      <c r="K32" s="16">
        <f t="shared" si="0"/>
        <v>23.023127454009067</v>
      </c>
      <c r="L32" s="2">
        <v>59</v>
      </c>
      <c r="M32" s="6">
        <f t="shared" si="1"/>
        <v>7</v>
      </c>
      <c r="N32" s="6" t="str">
        <f t="shared" si="2"/>
        <v>Ļoti augsts</v>
      </c>
      <c r="O32" s="21">
        <f t="shared" si="3"/>
        <v>4</v>
      </c>
      <c r="P32" s="8"/>
    </row>
    <row r="33" spans="1:16" x14ac:dyDescent="0.3">
      <c r="A33" s="8" t="s">
        <v>30</v>
      </c>
      <c r="B33" s="3">
        <v>45850</v>
      </c>
      <c r="C33" s="3" t="s">
        <v>113</v>
      </c>
      <c r="D33" s="2">
        <v>1085</v>
      </c>
      <c r="E33" s="2">
        <v>-2</v>
      </c>
      <c r="F33" s="2">
        <v>3500</v>
      </c>
      <c r="G33" s="2">
        <v>2</v>
      </c>
      <c r="H33" s="2" t="s">
        <v>61</v>
      </c>
      <c r="I33" s="2">
        <v>16</v>
      </c>
      <c r="J33" s="2" t="s">
        <v>66</v>
      </c>
      <c r="K33" s="16">
        <f t="shared" si="0"/>
        <v>17.135361311753385</v>
      </c>
      <c r="L33" s="2">
        <v>50</v>
      </c>
      <c r="M33" s="6">
        <f t="shared" si="1"/>
        <v>3</v>
      </c>
      <c r="N33" s="6" t="str">
        <f t="shared" si="2"/>
        <v>Zems-mērens</v>
      </c>
      <c r="O33" s="21">
        <f t="shared" si="3"/>
        <v>0.9</v>
      </c>
      <c r="P33" s="8"/>
    </row>
    <row r="34" spans="1:16" x14ac:dyDescent="0.3">
      <c r="A34" s="8" t="s">
        <v>31</v>
      </c>
      <c r="B34" s="3">
        <v>45851</v>
      </c>
      <c r="C34" s="3" t="s">
        <v>108</v>
      </c>
      <c r="D34" s="2">
        <v>2046</v>
      </c>
      <c r="E34" s="2">
        <v>-5</v>
      </c>
      <c r="F34" s="2">
        <v>4800</v>
      </c>
      <c r="G34" s="2">
        <v>3</v>
      </c>
      <c r="H34" s="2" t="s">
        <v>66</v>
      </c>
      <c r="I34" s="2">
        <v>11</v>
      </c>
      <c r="J34" s="2" t="s">
        <v>66</v>
      </c>
      <c r="K34" s="16">
        <f t="shared" ref="K34:K65" si="4">SQRT((
   (-I34*SIN(IF(J34="N",0,IF(J34="NE",45,IF(J34="E",90,IF(J34="SE",135,IF(J34="S",180,IF(J34="SW",225,IF(J34="W",270,IF(J34="NW",315))))))))) -G34*SIN(IF(H34="N",0,IF(H34="NE",45,IF(H34="E",90,IF(H34="SE",135,IF(H34="S",180,IF(H34="SW",225,IF(H34="W",270,IF(H34="NW",315))))))))))^2)+
(-I34*COS(IF(J34="N",0,IF(J34="NE",45,IF(J34="E",90,IF(J34="SE",135,IF(J34="S",180,IF(J34="SW",225,IF(J34="W",270,IF(J34="NW",315))))))))) -G34*COS(IF(H34="N",0,IF(H34="NE",45,IF(H34="E",90,IF(H34="SE",135,IF(H34="S",180,IF(H34="SW",225,IF(H34="W",270,IF(H34="NW",315))))))))))^2)</f>
        <v>14</v>
      </c>
      <c r="L34" s="2">
        <v>58</v>
      </c>
      <c r="M34" s="6">
        <f t="shared" ref="M34:M65" si="5">SUM(IF(D34&gt;1000,2,0),IF(E34&lt;=-4,2,0),IF(F34&lt;=3000,1,0),IF(K34&gt;10,1,0),IF(L34&gt;=55,2,0))</f>
        <v>7</v>
      </c>
      <c r="N34" s="6" t="str">
        <f t="shared" ref="N34:N65" si="6">IF(M34&gt;=7,"Ļoti augsts",IF(M34&gt;=5,"Mērens-augsts",IF(M34&gt;=3,"Zems-mērens","Ļoti zems")))</f>
        <v>Ļoti augsts</v>
      </c>
      <c r="O34" s="21">
        <f t="shared" ref="O34:O67" si="7">ROUND(
 (IF(L34&lt;55,0.5,
   IF(L34&lt;60,2,
   IF(L34&lt;65,4,
   IF(L34&lt;70,6,
   IF(L34&lt;75,10,12))))) *
  MIN(2,1+(K34/20)) *
  IF(F34&lt;3000,3000/F34,1)),
 1
)</f>
        <v>3.4</v>
      </c>
      <c r="P34" s="8"/>
    </row>
    <row r="35" spans="1:16" x14ac:dyDescent="0.3">
      <c r="A35" s="8" t="s">
        <v>32</v>
      </c>
      <c r="B35" s="3">
        <v>45852</v>
      </c>
      <c r="C35" s="3" t="s">
        <v>108</v>
      </c>
      <c r="D35" s="2">
        <v>2413</v>
      </c>
      <c r="E35" s="2">
        <v>-4</v>
      </c>
      <c r="F35" s="2">
        <v>4300</v>
      </c>
      <c r="G35" s="2">
        <v>3</v>
      </c>
      <c r="H35" s="2" t="s">
        <v>67</v>
      </c>
      <c r="I35" s="2">
        <v>20</v>
      </c>
      <c r="J35" s="2" t="s">
        <v>64</v>
      </c>
      <c r="K35" s="16">
        <f t="shared" si="4"/>
        <v>17.013802037847324</v>
      </c>
      <c r="L35" s="2">
        <v>56</v>
      </c>
      <c r="M35" s="6">
        <f t="shared" si="5"/>
        <v>7</v>
      </c>
      <c r="N35" s="6" t="str">
        <f t="shared" si="6"/>
        <v>Ļoti augsts</v>
      </c>
      <c r="O35" s="21">
        <f t="shared" si="7"/>
        <v>3.7</v>
      </c>
      <c r="P35" s="8"/>
    </row>
    <row r="36" spans="1:16" x14ac:dyDescent="0.3">
      <c r="A36" s="8" t="s">
        <v>33</v>
      </c>
      <c r="B36" s="3">
        <v>45853</v>
      </c>
      <c r="C36" s="3" t="s">
        <v>108</v>
      </c>
      <c r="D36" s="2">
        <v>1972</v>
      </c>
      <c r="E36" s="2">
        <v>-5</v>
      </c>
      <c r="F36" s="2">
        <v>4900</v>
      </c>
      <c r="G36" s="2">
        <v>3</v>
      </c>
      <c r="H36" s="2" t="s">
        <v>61</v>
      </c>
      <c r="I36" s="2">
        <v>4</v>
      </c>
      <c r="J36" s="2" t="s">
        <v>64</v>
      </c>
      <c r="K36" s="16">
        <f t="shared" si="4"/>
        <v>3.7744182615205641</v>
      </c>
      <c r="L36" s="2">
        <v>57</v>
      </c>
      <c r="M36" s="6">
        <f t="shared" si="5"/>
        <v>6</v>
      </c>
      <c r="N36" s="6" t="str">
        <f t="shared" si="6"/>
        <v>Mērens-augsts</v>
      </c>
      <c r="O36" s="21">
        <f t="shared" si="7"/>
        <v>2.4</v>
      </c>
      <c r="P36" s="8"/>
    </row>
    <row r="37" spans="1:16" x14ac:dyDescent="0.3">
      <c r="A37" s="8" t="s">
        <v>114</v>
      </c>
      <c r="B37" s="3">
        <v>45854</v>
      </c>
      <c r="C37" s="3" t="s">
        <v>115</v>
      </c>
      <c r="D37" s="2">
        <v>235</v>
      </c>
      <c r="E37" s="2">
        <v>-3</v>
      </c>
      <c r="F37" s="2">
        <v>3500</v>
      </c>
      <c r="G37" s="2">
        <v>4</v>
      </c>
      <c r="H37" s="2" t="s">
        <v>67</v>
      </c>
      <c r="I37" s="2">
        <v>10</v>
      </c>
      <c r="J37" s="2" t="s">
        <v>64</v>
      </c>
      <c r="K37" s="16">
        <f t="shared" si="4"/>
        <v>6.0260246588198774</v>
      </c>
      <c r="L37" s="2">
        <v>56</v>
      </c>
      <c r="M37" s="6">
        <f t="shared" si="5"/>
        <v>2</v>
      </c>
      <c r="N37" s="6" t="str">
        <f t="shared" si="6"/>
        <v>Ļoti zems</v>
      </c>
      <c r="O37" s="21">
        <f t="shared" si="7"/>
        <v>2.6</v>
      </c>
      <c r="P37" s="8"/>
    </row>
    <row r="38" spans="1:16" x14ac:dyDescent="0.3">
      <c r="A38" s="8" t="s">
        <v>35</v>
      </c>
      <c r="B38" s="3">
        <v>45855</v>
      </c>
      <c r="C38" s="3" t="s">
        <v>122</v>
      </c>
      <c r="D38" s="2">
        <v>945</v>
      </c>
      <c r="E38" s="2">
        <v>-3</v>
      </c>
      <c r="F38" s="2">
        <v>4000</v>
      </c>
      <c r="G38" s="2">
        <v>1</v>
      </c>
      <c r="H38" s="2" t="s">
        <v>61</v>
      </c>
      <c r="I38" s="2">
        <v>22</v>
      </c>
      <c r="J38" s="2" t="s">
        <v>66</v>
      </c>
      <c r="K38" s="16">
        <f t="shared" si="4"/>
        <v>22.541387878921302</v>
      </c>
      <c r="L38" s="2">
        <v>42</v>
      </c>
      <c r="M38" s="6">
        <f t="shared" si="5"/>
        <v>1</v>
      </c>
      <c r="N38" s="6" t="str">
        <f t="shared" si="6"/>
        <v>Ļoti zems</v>
      </c>
      <c r="O38" s="21">
        <f t="shared" si="7"/>
        <v>1</v>
      </c>
      <c r="P38" s="8"/>
    </row>
    <row r="39" spans="1:16" x14ac:dyDescent="0.3">
      <c r="A39" s="8" t="s">
        <v>116</v>
      </c>
      <c r="B39" s="3">
        <v>45856</v>
      </c>
      <c r="C39" s="3" t="s">
        <v>108</v>
      </c>
      <c r="D39" s="2">
        <v>1747</v>
      </c>
      <c r="E39" s="2">
        <v>-6</v>
      </c>
      <c r="F39" s="2">
        <v>4500</v>
      </c>
      <c r="G39" s="2">
        <v>2</v>
      </c>
      <c r="H39" s="2" t="s">
        <v>66</v>
      </c>
      <c r="I39" s="2">
        <v>14</v>
      </c>
      <c r="J39" s="2" t="s">
        <v>64</v>
      </c>
      <c r="K39" s="16">
        <f t="shared" si="4"/>
        <v>15.146551798141809</v>
      </c>
      <c r="L39" s="2">
        <v>57</v>
      </c>
      <c r="M39" s="6">
        <f t="shared" si="5"/>
        <v>7</v>
      </c>
      <c r="N39" s="6" t="str">
        <f t="shared" si="6"/>
        <v>Ļoti augsts</v>
      </c>
      <c r="O39" s="21">
        <f t="shared" si="7"/>
        <v>3.5</v>
      </c>
      <c r="P39" s="8"/>
    </row>
    <row r="40" spans="1:16" x14ac:dyDescent="0.3">
      <c r="A40" s="12" t="s">
        <v>117</v>
      </c>
      <c r="B40" s="3">
        <v>45857</v>
      </c>
      <c r="C40" s="3" t="s">
        <v>108</v>
      </c>
      <c r="D40" s="2">
        <v>1231</v>
      </c>
      <c r="E40" s="2">
        <v>-3</v>
      </c>
      <c r="F40" s="2">
        <v>4200</v>
      </c>
      <c r="G40" s="2">
        <v>2</v>
      </c>
      <c r="H40" s="2" t="s">
        <v>62</v>
      </c>
      <c r="I40" s="2">
        <v>7</v>
      </c>
      <c r="J40" s="2" t="s">
        <v>68</v>
      </c>
      <c r="K40" s="16">
        <f t="shared" si="4"/>
        <v>8.4660283965420042</v>
      </c>
      <c r="L40" s="2">
        <v>52</v>
      </c>
      <c r="M40" s="6">
        <f t="shared" si="5"/>
        <v>2</v>
      </c>
      <c r="N40" s="6" t="str">
        <f t="shared" si="6"/>
        <v>Ļoti zems</v>
      </c>
      <c r="O40" s="21">
        <f t="shared" si="7"/>
        <v>0.7</v>
      </c>
      <c r="P40" s="8"/>
    </row>
    <row r="41" spans="1:16" x14ac:dyDescent="0.3">
      <c r="A41" s="8" t="s">
        <v>41</v>
      </c>
      <c r="B41" s="3">
        <v>45858</v>
      </c>
      <c r="C41" s="3" t="s">
        <v>108</v>
      </c>
      <c r="D41" s="2">
        <v>1768</v>
      </c>
      <c r="E41" s="2">
        <v>-5</v>
      </c>
      <c r="F41" s="2">
        <v>4600</v>
      </c>
      <c r="G41" s="2">
        <v>4</v>
      </c>
      <c r="H41" s="2" t="s">
        <v>65</v>
      </c>
      <c r="I41" s="2">
        <v>15</v>
      </c>
      <c r="J41" s="2" t="s">
        <v>64</v>
      </c>
      <c r="K41" s="16">
        <f t="shared" si="4"/>
        <v>13.007105431765247</v>
      </c>
      <c r="L41" s="2">
        <v>52</v>
      </c>
      <c r="M41" s="6">
        <f t="shared" si="5"/>
        <v>5</v>
      </c>
      <c r="N41" s="6" t="str">
        <f t="shared" si="6"/>
        <v>Mērens-augsts</v>
      </c>
      <c r="O41" s="21">
        <f t="shared" si="7"/>
        <v>0.8</v>
      </c>
      <c r="P41" s="8"/>
    </row>
    <row r="42" spans="1:16" x14ac:dyDescent="0.3">
      <c r="A42" s="8" t="s">
        <v>44</v>
      </c>
      <c r="B42" s="3">
        <v>45859</v>
      </c>
      <c r="C42" s="3" t="s">
        <v>118</v>
      </c>
      <c r="D42" s="2">
        <v>2158</v>
      </c>
      <c r="E42" s="2">
        <v>-7</v>
      </c>
      <c r="F42" s="2">
        <v>3900</v>
      </c>
      <c r="G42" s="2">
        <v>2</v>
      </c>
      <c r="H42" s="2" t="s">
        <v>66</v>
      </c>
      <c r="I42" s="2">
        <v>24</v>
      </c>
      <c r="J42" s="2" t="s">
        <v>66</v>
      </c>
      <c r="K42" s="16">
        <f t="shared" si="4"/>
        <v>25.999999999999996</v>
      </c>
      <c r="L42" s="2">
        <v>57</v>
      </c>
      <c r="M42" s="6">
        <f t="shared" si="5"/>
        <v>7</v>
      </c>
      <c r="N42" s="6" t="str">
        <f t="shared" si="6"/>
        <v>Ļoti augsts</v>
      </c>
      <c r="O42" s="21">
        <f t="shared" si="7"/>
        <v>4</v>
      </c>
      <c r="P42" s="8"/>
    </row>
    <row r="43" spans="1:16" x14ac:dyDescent="0.3">
      <c r="A43" s="8" t="s">
        <v>53</v>
      </c>
      <c r="B43" s="3">
        <v>45860</v>
      </c>
      <c r="C43" s="3" t="s">
        <v>119</v>
      </c>
      <c r="D43" s="2">
        <v>553</v>
      </c>
      <c r="E43" s="2">
        <v>-2</v>
      </c>
      <c r="F43" s="2">
        <v>3800</v>
      </c>
      <c r="G43" s="2">
        <v>2</v>
      </c>
      <c r="H43" s="2" t="s">
        <v>65</v>
      </c>
      <c r="I43" s="2">
        <v>19</v>
      </c>
      <c r="J43" s="2" t="s">
        <v>64</v>
      </c>
      <c r="K43" s="16">
        <f t="shared" si="4"/>
        <v>17.875039433567768</v>
      </c>
      <c r="L43" s="2">
        <v>55</v>
      </c>
      <c r="M43" s="6">
        <f t="shared" si="5"/>
        <v>3</v>
      </c>
      <c r="N43" s="6" t="str">
        <f t="shared" si="6"/>
        <v>Zems-mērens</v>
      </c>
      <c r="O43" s="21">
        <f t="shared" si="7"/>
        <v>3.8</v>
      </c>
      <c r="P43" s="8"/>
    </row>
    <row r="44" spans="1:16" x14ac:dyDescent="0.3">
      <c r="A44" s="8" t="s">
        <v>45</v>
      </c>
      <c r="B44" s="3">
        <v>45861</v>
      </c>
      <c r="C44" s="3" t="s">
        <v>120</v>
      </c>
      <c r="D44" s="2">
        <v>611</v>
      </c>
      <c r="E44" s="2">
        <v>-4</v>
      </c>
      <c r="F44" s="2">
        <v>3100</v>
      </c>
      <c r="G44" s="2">
        <v>1</v>
      </c>
      <c r="H44" s="2" t="s">
        <v>68</v>
      </c>
      <c r="I44" s="2">
        <v>15</v>
      </c>
      <c r="J44" s="2" t="s">
        <v>66</v>
      </c>
      <c r="K44" s="16">
        <f t="shared" si="4"/>
        <v>14.579361835009271</v>
      </c>
      <c r="L44" s="2">
        <v>55</v>
      </c>
      <c r="M44" s="6">
        <f t="shared" si="5"/>
        <v>5</v>
      </c>
      <c r="N44" s="6" t="str">
        <f t="shared" si="6"/>
        <v>Mērens-augsts</v>
      </c>
      <c r="O44" s="21">
        <f t="shared" si="7"/>
        <v>3.5</v>
      </c>
      <c r="P44" s="8"/>
    </row>
    <row r="45" spans="1:16" x14ac:dyDescent="0.3">
      <c r="A45" s="8" t="s">
        <v>46</v>
      </c>
      <c r="B45" s="3">
        <v>45862</v>
      </c>
      <c r="C45" s="3" t="s">
        <v>121</v>
      </c>
      <c r="D45" s="2">
        <v>1695</v>
      </c>
      <c r="E45" s="2">
        <v>-5</v>
      </c>
      <c r="F45" s="2">
        <v>4300</v>
      </c>
      <c r="G45" s="2">
        <v>4</v>
      </c>
      <c r="H45" s="2" t="s">
        <v>67</v>
      </c>
      <c r="I45" s="2">
        <v>17</v>
      </c>
      <c r="J45" s="2" t="s">
        <v>64</v>
      </c>
      <c r="K45" s="16">
        <f t="shared" si="4"/>
        <v>13.020447550710337</v>
      </c>
      <c r="L45" s="2">
        <v>60</v>
      </c>
      <c r="M45" s="6">
        <f t="shared" si="5"/>
        <v>7</v>
      </c>
      <c r="N45" s="6" t="str">
        <f t="shared" si="6"/>
        <v>Ļoti augsts</v>
      </c>
      <c r="O45" s="21">
        <f t="shared" si="7"/>
        <v>6.6</v>
      </c>
      <c r="P45" s="8"/>
    </row>
    <row r="46" spans="1:16" x14ac:dyDescent="0.3">
      <c r="A46" s="8" t="s">
        <v>47</v>
      </c>
      <c r="B46" s="3">
        <v>45863</v>
      </c>
      <c r="C46" s="3" t="s">
        <v>122</v>
      </c>
      <c r="D46" s="2">
        <v>1634</v>
      </c>
      <c r="E46" s="2">
        <v>-4</v>
      </c>
      <c r="F46" s="2">
        <v>4300</v>
      </c>
      <c r="G46" s="2">
        <v>1</v>
      </c>
      <c r="H46" s="2" t="s">
        <v>61</v>
      </c>
      <c r="I46" s="2">
        <v>17</v>
      </c>
      <c r="J46" s="2" t="s">
        <v>64</v>
      </c>
      <c r="K46" s="16">
        <f t="shared" si="4"/>
        <v>16.576051913878896</v>
      </c>
      <c r="L46" s="2">
        <v>59</v>
      </c>
      <c r="M46" s="6">
        <f t="shared" si="5"/>
        <v>7</v>
      </c>
      <c r="N46" s="6" t="str">
        <f t="shared" si="6"/>
        <v>Ļoti augsts</v>
      </c>
      <c r="O46" s="21">
        <f t="shared" si="7"/>
        <v>3.7</v>
      </c>
      <c r="P46" s="8"/>
    </row>
    <row r="47" spans="1:16" x14ac:dyDescent="0.3">
      <c r="A47" s="10" t="s">
        <v>69</v>
      </c>
      <c r="B47" s="3">
        <v>45864</v>
      </c>
      <c r="C47" s="3" t="s">
        <v>118</v>
      </c>
      <c r="D47" s="2">
        <v>1565</v>
      </c>
      <c r="E47" s="2">
        <v>-7</v>
      </c>
      <c r="F47" s="2">
        <v>3400</v>
      </c>
      <c r="G47" s="2">
        <v>2</v>
      </c>
      <c r="H47" s="2" t="s">
        <v>67</v>
      </c>
      <c r="I47" s="2">
        <v>24</v>
      </c>
      <c r="J47" s="2" t="s">
        <v>61</v>
      </c>
      <c r="K47" s="16">
        <f t="shared" si="4"/>
        <v>25.108383279823133</v>
      </c>
      <c r="L47" s="2">
        <v>54</v>
      </c>
      <c r="M47" s="6">
        <f t="shared" si="5"/>
        <v>5</v>
      </c>
      <c r="N47" s="6" t="str">
        <f t="shared" si="6"/>
        <v>Mērens-augsts</v>
      </c>
      <c r="O47" s="21">
        <f t="shared" si="7"/>
        <v>1</v>
      </c>
      <c r="P47" s="8"/>
    </row>
    <row r="48" spans="1:16" x14ac:dyDescent="0.3">
      <c r="A48" s="10" t="s">
        <v>70</v>
      </c>
      <c r="B48" s="3">
        <v>45865</v>
      </c>
      <c r="C48" s="3" t="s">
        <v>123</v>
      </c>
      <c r="D48" s="2">
        <v>930</v>
      </c>
      <c r="E48" s="2">
        <v>-5</v>
      </c>
      <c r="F48" s="2">
        <v>4200</v>
      </c>
      <c r="G48" s="2">
        <v>3</v>
      </c>
      <c r="H48" s="2" t="s">
        <v>68</v>
      </c>
      <c r="I48" s="2">
        <v>23</v>
      </c>
      <c r="J48" s="2" t="s">
        <v>66</v>
      </c>
      <c r="K48" s="16">
        <f t="shared" si="4"/>
        <v>21.821224552581242</v>
      </c>
      <c r="L48" s="2">
        <v>57</v>
      </c>
      <c r="M48" s="6">
        <f t="shared" si="5"/>
        <v>5</v>
      </c>
      <c r="N48" s="6" t="str">
        <f t="shared" si="6"/>
        <v>Mērens-augsts</v>
      </c>
      <c r="O48" s="21">
        <f t="shared" si="7"/>
        <v>4</v>
      </c>
      <c r="P48" s="8"/>
    </row>
    <row r="49" spans="1:16" x14ac:dyDescent="0.3">
      <c r="A49" s="10" t="s">
        <v>71</v>
      </c>
      <c r="B49" s="3">
        <v>45866</v>
      </c>
      <c r="C49" s="3" t="s">
        <v>124</v>
      </c>
      <c r="D49" s="2">
        <v>1088</v>
      </c>
      <c r="E49" s="2">
        <v>-4</v>
      </c>
      <c r="F49" s="2">
        <v>4000</v>
      </c>
      <c r="G49" s="2">
        <v>3</v>
      </c>
      <c r="H49" s="2" t="s">
        <v>66</v>
      </c>
      <c r="I49" s="2">
        <v>14</v>
      </c>
      <c r="J49" s="2" t="s">
        <v>61</v>
      </c>
      <c r="K49" s="16">
        <f t="shared" si="4"/>
        <v>15.783758964856542</v>
      </c>
      <c r="L49" s="2">
        <v>45</v>
      </c>
      <c r="M49" s="6">
        <f t="shared" si="5"/>
        <v>5</v>
      </c>
      <c r="N49" s="6" t="str">
        <f t="shared" si="6"/>
        <v>Mērens-augsts</v>
      </c>
      <c r="O49" s="21">
        <f t="shared" si="7"/>
        <v>0.9</v>
      </c>
      <c r="P49" s="8"/>
    </row>
    <row r="50" spans="1:16" x14ac:dyDescent="0.3">
      <c r="A50" s="8" t="s">
        <v>72</v>
      </c>
      <c r="B50" s="3">
        <v>45867</v>
      </c>
      <c r="C50" s="3" t="s">
        <v>108</v>
      </c>
      <c r="D50" s="2">
        <v>1842</v>
      </c>
      <c r="E50" s="2">
        <v>-4</v>
      </c>
      <c r="F50" s="2">
        <v>5000</v>
      </c>
      <c r="G50" s="2">
        <v>7</v>
      </c>
      <c r="H50" s="2" t="s">
        <v>61</v>
      </c>
      <c r="I50" s="2">
        <v>4</v>
      </c>
      <c r="J50" s="2" t="s">
        <v>66</v>
      </c>
      <c r="K50" s="16">
        <f t="shared" si="4"/>
        <v>9.7168941217753755</v>
      </c>
      <c r="L50" s="2">
        <v>57</v>
      </c>
      <c r="M50" s="6">
        <f t="shared" si="5"/>
        <v>6</v>
      </c>
      <c r="N50" s="6" t="str">
        <f t="shared" si="6"/>
        <v>Mērens-augsts</v>
      </c>
      <c r="O50" s="21">
        <f t="shared" si="7"/>
        <v>3</v>
      </c>
      <c r="P50" s="8"/>
    </row>
    <row r="51" spans="1:16" x14ac:dyDescent="0.3">
      <c r="A51" s="10" t="s">
        <v>73</v>
      </c>
      <c r="B51" s="3">
        <v>45868</v>
      </c>
      <c r="C51" s="3" t="s">
        <v>108</v>
      </c>
      <c r="D51" s="2">
        <v>2199</v>
      </c>
      <c r="E51" s="2">
        <v>-4</v>
      </c>
      <c r="F51" s="2">
        <v>4700</v>
      </c>
      <c r="G51" s="2">
        <v>2</v>
      </c>
      <c r="H51" s="2" t="s">
        <v>62</v>
      </c>
      <c r="I51" s="2">
        <v>16</v>
      </c>
      <c r="J51" s="2" t="s">
        <v>64</v>
      </c>
      <c r="K51" s="16">
        <f t="shared" si="4"/>
        <v>17.97221313140038</v>
      </c>
      <c r="L51" s="2">
        <v>58</v>
      </c>
      <c r="M51" s="6">
        <f t="shared" si="5"/>
        <v>7</v>
      </c>
      <c r="N51" s="6" t="str">
        <f t="shared" si="6"/>
        <v>Ļoti augsts</v>
      </c>
      <c r="O51" s="21">
        <f t="shared" si="7"/>
        <v>3.8</v>
      </c>
      <c r="P51" s="8"/>
    </row>
    <row r="52" spans="1:16" x14ac:dyDescent="0.3">
      <c r="A52" s="10" t="s">
        <v>74</v>
      </c>
      <c r="B52" s="3">
        <v>45869</v>
      </c>
      <c r="C52" s="3" t="s">
        <v>125</v>
      </c>
      <c r="D52" s="2">
        <v>1743</v>
      </c>
      <c r="E52" s="2">
        <v>-3</v>
      </c>
      <c r="F52" s="2">
        <v>3700</v>
      </c>
      <c r="G52" s="2">
        <v>3</v>
      </c>
      <c r="H52" s="2" t="s">
        <v>65</v>
      </c>
      <c r="I52" s="2">
        <v>7</v>
      </c>
      <c r="J52" s="2" t="s">
        <v>65</v>
      </c>
      <c r="K52" s="16">
        <f t="shared" si="4"/>
        <v>10</v>
      </c>
      <c r="L52" s="2">
        <v>50</v>
      </c>
      <c r="M52" s="6">
        <f t="shared" si="5"/>
        <v>2</v>
      </c>
      <c r="N52" s="6" t="str">
        <f t="shared" si="6"/>
        <v>Ļoti zems</v>
      </c>
      <c r="O52" s="21">
        <f t="shared" si="7"/>
        <v>0.8</v>
      </c>
      <c r="P52" s="8"/>
    </row>
    <row r="53" spans="1:16" x14ac:dyDescent="0.3">
      <c r="A53" s="10" t="s">
        <v>75</v>
      </c>
      <c r="B53" s="3">
        <v>45870</v>
      </c>
      <c r="C53" s="3" t="s">
        <v>108</v>
      </c>
      <c r="D53" s="2">
        <v>1318</v>
      </c>
      <c r="E53" s="2">
        <v>-4</v>
      </c>
      <c r="F53" s="2">
        <v>4800</v>
      </c>
      <c r="G53" s="2">
        <v>2</v>
      </c>
      <c r="H53" s="2" t="s">
        <v>63</v>
      </c>
      <c r="I53" s="2">
        <v>5</v>
      </c>
      <c r="J53" s="2" t="s">
        <v>62</v>
      </c>
      <c r="K53" s="16">
        <f t="shared" si="4"/>
        <v>6.2854148452074829</v>
      </c>
      <c r="L53" s="2">
        <v>50</v>
      </c>
      <c r="M53" s="6">
        <f t="shared" si="5"/>
        <v>4</v>
      </c>
      <c r="N53" s="6" t="str">
        <f t="shared" si="6"/>
        <v>Zems-mērens</v>
      </c>
      <c r="O53" s="21">
        <f t="shared" si="7"/>
        <v>0.7</v>
      </c>
      <c r="P53" s="8"/>
    </row>
    <row r="54" spans="1:16" x14ac:dyDescent="0.3">
      <c r="A54" s="8" t="s">
        <v>55</v>
      </c>
      <c r="B54" s="3">
        <v>45871</v>
      </c>
      <c r="C54" s="3" t="s">
        <v>118</v>
      </c>
      <c r="D54" s="2">
        <v>1563</v>
      </c>
      <c r="E54" s="2">
        <v>-7</v>
      </c>
      <c r="F54" s="2">
        <v>3600</v>
      </c>
      <c r="G54" s="2">
        <v>3</v>
      </c>
      <c r="H54" s="2" t="s">
        <v>62</v>
      </c>
      <c r="I54" s="2">
        <v>19</v>
      </c>
      <c r="J54" s="2" t="s">
        <v>66</v>
      </c>
      <c r="K54" s="16">
        <f t="shared" si="4"/>
        <v>20.294689155570921</v>
      </c>
      <c r="L54" s="2">
        <v>59</v>
      </c>
      <c r="M54" s="6">
        <f t="shared" si="5"/>
        <v>7</v>
      </c>
      <c r="N54" s="6" t="str">
        <f t="shared" si="6"/>
        <v>Ļoti augsts</v>
      </c>
      <c r="O54" s="21">
        <f t="shared" si="7"/>
        <v>4</v>
      </c>
      <c r="P54" s="8"/>
    </row>
    <row r="55" spans="1:16" x14ac:dyDescent="0.3">
      <c r="A55" s="10" t="s">
        <v>76</v>
      </c>
      <c r="B55" s="3">
        <v>45872</v>
      </c>
      <c r="C55" s="3" t="s">
        <v>118</v>
      </c>
      <c r="D55" s="2">
        <v>1362</v>
      </c>
      <c r="E55" s="2">
        <v>-6</v>
      </c>
      <c r="F55" s="2">
        <v>3200</v>
      </c>
      <c r="G55" s="2">
        <v>3</v>
      </c>
      <c r="H55" s="2" t="s">
        <v>68</v>
      </c>
      <c r="I55" s="2">
        <v>14</v>
      </c>
      <c r="J55" s="2" t="s">
        <v>66</v>
      </c>
      <c r="K55" s="16">
        <f t="shared" si="4"/>
        <v>12.936839499860454</v>
      </c>
      <c r="L55" s="2">
        <v>58</v>
      </c>
      <c r="M55" s="6">
        <f t="shared" si="5"/>
        <v>7</v>
      </c>
      <c r="N55" s="6" t="str">
        <f t="shared" si="6"/>
        <v>Ļoti augsts</v>
      </c>
      <c r="O55" s="21">
        <f t="shared" si="7"/>
        <v>3.3</v>
      </c>
      <c r="P55" s="8"/>
    </row>
    <row r="56" spans="1:16" x14ac:dyDescent="0.3">
      <c r="A56" s="10" t="s">
        <v>77</v>
      </c>
      <c r="B56" s="3">
        <v>45873</v>
      </c>
      <c r="C56" s="3" t="s">
        <v>112</v>
      </c>
      <c r="D56" s="2">
        <v>1095</v>
      </c>
      <c r="E56" s="2">
        <v>-5</v>
      </c>
      <c r="F56" s="2">
        <v>3500</v>
      </c>
      <c r="G56" s="2">
        <v>4</v>
      </c>
      <c r="H56" s="2" t="s">
        <v>65</v>
      </c>
      <c r="I56" s="2">
        <v>10</v>
      </c>
      <c r="J56" s="2" t="s">
        <v>61</v>
      </c>
      <c r="K56" s="16">
        <f t="shared" si="4"/>
        <v>8.9528828155888647</v>
      </c>
      <c r="L56" s="2">
        <v>53</v>
      </c>
      <c r="M56" s="6">
        <f t="shared" si="5"/>
        <v>4</v>
      </c>
      <c r="N56" s="6" t="str">
        <f t="shared" si="6"/>
        <v>Zems-mērens</v>
      </c>
      <c r="O56" s="21">
        <f t="shared" si="7"/>
        <v>0.7</v>
      </c>
      <c r="P56" s="8"/>
    </row>
    <row r="57" spans="1:16" x14ac:dyDescent="0.3">
      <c r="A57" s="10" t="s">
        <v>78</v>
      </c>
      <c r="B57" s="3">
        <v>45874</v>
      </c>
      <c r="C57" s="3" t="s">
        <v>108</v>
      </c>
      <c r="D57" s="2">
        <v>1634</v>
      </c>
      <c r="E57" s="2">
        <v>-3</v>
      </c>
      <c r="F57" s="2">
        <v>5000</v>
      </c>
      <c r="G57" s="2">
        <v>2</v>
      </c>
      <c r="H57" s="2" t="s">
        <v>63</v>
      </c>
      <c r="I57" s="2">
        <v>6</v>
      </c>
      <c r="J57" s="2" t="s">
        <v>62</v>
      </c>
      <c r="K57" s="16">
        <f t="shared" si="4"/>
        <v>7.2531184832198576</v>
      </c>
      <c r="L57" s="2">
        <v>57</v>
      </c>
      <c r="M57" s="6">
        <f t="shared" si="5"/>
        <v>4</v>
      </c>
      <c r="N57" s="6" t="str">
        <f t="shared" si="6"/>
        <v>Zems-mērens</v>
      </c>
      <c r="O57" s="21">
        <f t="shared" si="7"/>
        <v>2.7</v>
      </c>
      <c r="P57" s="8"/>
    </row>
    <row r="58" spans="1:16" x14ac:dyDescent="0.3">
      <c r="A58" s="10" t="s">
        <v>79</v>
      </c>
      <c r="B58" s="3">
        <v>45875</v>
      </c>
      <c r="C58" s="3" t="s">
        <v>124</v>
      </c>
      <c r="D58" s="2">
        <v>1076</v>
      </c>
      <c r="E58" s="2">
        <v>-5</v>
      </c>
      <c r="F58" s="2">
        <v>3800</v>
      </c>
      <c r="G58" s="2">
        <v>4</v>
      </c>
      <c r="H58" s="2" t="s">
        <v>68</v>
      </c>
      <c r="I58" s="2">
        <v>23</v>
      </c>
      <c r="J58" s="2" t="s">
        <v>66</v>
      </c>
      <c r="K58" s="16">
        <f t="shared" si="4"/>
        <v>21.507079174825964</v>
      </c>
      <c r="L58" s="2">
        <v>55</v>
      </c>
      <c r="M58" s="6">
        <f t="shared" si="5"/>
        <v>7</v>
      </c>
      <c r="N58" s="6" t="str">
        <f t="shared" si="6"/>
        <v>Ļoti augsts</v>
      </c>
      <c r="O58" s="21">
        <f t="shared" si="7"/>
        <v>4</v>
      </c>
      <c r="P58" s="8"/>
    </row>
    <row r="59" spans="1:16" x14ac:dyDescent="0.3">
      <c r="A59" s="10" t="s">
        <v>80</v>
      </c>
      <c r="B59" s="3">
        <v>45876</v>
      </c>
      <c r="C59" s="3" t="s">
        <v>108</v>
      </c>
      <c r="D59" s="2">
        <v>3517</v>
      </c>
      <c r="E59" s="2">
        <v>-7</v>
      </c>
      <c r="F59" s="2">
        <v>4500</v>
      </c>
      <c r="G59" s="2">
        <v>4</v>
      </c>
      <c r="H59" s="2" t="s">
        <v>61</v>
      </c>
      <c r="I59" s="2">
        <v>15</v>
      </c>
      <c r="J59" s="2" t="s">
        <v>66</v>
      </c>
      <c r="K59" s="16">
        <f t="shared" si="4"/>
        <v>17.436703778470505</v>
      </c>
      <c r="L59" s="2">
        <v>56</v>
      </c>
      <c r="M59" s="6">
        <f t="shared" si="5"/>
        <v>7</v>
      </c>
      <c r="N59" s="6" t="str">
        <f t="shared" si="6"/>
        <v>Ļoti augsts</v>
      </c>
      <c r="O59" s="21">
        <f t="shared" si="7"/>
        <v>3.7</v>
      </c>
      <c r="P59" s="22"/>
    </row>
    <row r="60" spans="1:16" x14ac:dyDescent="0.3">
      <c r="A60" s="10" t="s">
        <v>81</v>
      </c>
      <c r="B60" s="3">
        <v>45877</v>
      </c>
      <c r="C60" s="3" t="s">
        <v>108</v>
      </c>
      <c r="D60" s="2">
        <v>1553</v>
      </c>
      <c r="E60" s="2">
        <v>-4</v>
      </c>
      <c r="F60" s="2">
        <v>4200</v>
      </c>
      <c r="G60" s="2">
        <v>2</v>
      </c>
      <c r="H60" s="2" t="s">
        <v>61</v>
      </c>
      <c r="I60" s="2">
        <v>13</v>
      </c>
      <c r="J60" s="2" t="s">
        <v>64</v>
      </c>
      <c r="K60" s="16">
        <f t="shared" si="4"/>
        <v>12.235202162665033</v>
      </c>
      <c r="L60" s="2">
        <v>60</v>
      </c>
      <c r="M60" s="6">
        <f t="shared" si="5"/>
        <v>7</v>
      </c>
      <c r="N60" s="6" t="str">
        <f t="shared" si="6"/>
        <v>Ļoti augsts</v>
      </c>
      <c r="O60" s="21">
        <f t="shared" si="7"/>
        <v>6.4</v>
      </c>
      <c r="P60" s="22"/>
    </row>
    <row r="61" spans="1:16" x14ac:dyDescent="0.3">
      <c r="A61" s="10" t="s">
        <v>82</v>
      </c>
      <c r="B61" s="3">
        <v>45878</v>
      </c>
      <c r="C61" s="3" t="s">
        <v>112</v>
      </c>
      <c r="D61" s="2">
        <v>788</v>
      </c>
      <c r="E61" s="2">
        <v>-2</v>
      </c>
      <c r="F61" s="2">
        <v>2700</v>
      </c>
      <c r="G61" s="2">
        <v>3</v>
      </c>
      <c r="H61" s="2" t="s">
        <v>64</v>
      </c>
      <c r="I61" s="2">
        <v>15</v>
      </c>
      <c r="J61" s="2" t="s">
        <v>64</v>
      </c>
      <c r="K61" s="16">
        <f t="shared" si="4"/>
        <v>18</v>
      </c>
      <c r="L61" s="2">
        <v>27</v>
      </c>
      <c r="M61" s="6">
        <f t="shared" si="5"/>
        <v>2</v>
      </c>
      <c r="N61" s="6" t="str">
        <f t="shared" si="6"/>
        <v>Ļoti zems</v>
      </c>
      <c r="O61" s="21">
        <f t="shared" si="7"/>
        <v>1.1000000000000001</v>
      </c>
      <c r="P61" s="22"/>
    </row>
    <row r="62" spans="1:16" x14ac:dyDescent="0.3">
      <c r="A62" s="10" t="s">
        <v>83</v>
      </c>
      <c r="B62" s="3">
        <v>45879</v>
      </c>
      <c r="C62" s="3" t="s">
        <v>126</v>
      </c>
      <c r="D62" s="2">
        <v>1078</v>
      </c>
      <c r="E62" s="2">
        <v>-4</v>
      </c>
      <c r="F62" s="2">
        <v>4200</v>
      </c>
      <c r="G62" s="2">
        <v>2</v>
      </c>
      <c r="H62" s="2" t="s">
        <v>64</v>
      </c>
      <c r="I62" s="2">
        <v>18</v>
      </c>
      <c r="J62" s="2" t="s">
        <v>64</v>
      </c>
      <c r="K62" s="16">
        <f t="shared" si="4"/>
        <v>20</v>
      </c>
      <c r="L62" s="2">
        <v>52</v>
      </c>
      <c r="M62" s="6">
        <f t="shared" si="5"/>
        <v>5</v>
      </c>
      <c r="N62" s="6" t="str">
        <f t="shared" si="6"/>
        <v>Mērens-augsts</v>
      </c>
      <c r="O62" s="21">
        <f t="shared" si="7"/>
        <v>1</v>
      </c>
      <c r="P62" s="8"/>
    </row>
    <row r="63" spans="1:16" x14ac:dyDescent="0.3">
      <c r="A63" s="10" t="s">
        <v>84</v>
      </c>
      <c r="B63" s="3">
        <v>45880</v>
      </c>
      <c r="C63" s="3" t="s">
        <v>124</v>
      </c>
      <c r="D63" s="2">
        <v>973</v>
      </c>
      <c r="E63" s="2">
        <v>-3</v>
      </c>
      <c r="F63" s="2">
        <v>3000</v>
      </c>
      <c r="G63" s="2">
        <v>5</v>
      </c>
      <c r="H63" s="2" t="s">
        <v>68</v>
      </c>
      <c r="I63" s="2">
        <v>16</v>
      </c>
      <c r="J63" s="2" t="s">
        <v>64</v>
      </c>
      <c r="K63" s="16">
        <f t="shared" si="4"/>
        <v>19.106321420169731</v>
      </c>
      <c r="L63" s="2">
        <v>53</v>
      </c>
      <c r="M63" s="6">
        <f t="shared" si="5"/>
        <v>2</v>
      </c>
      <c r="N63" s="6" t="str">
        <f t="shared" si="6"/>
        <v>Ļoti zems</v>
      </c>
      <c r="O63" s="21">
        <f t="shared" si="7"/>
        <v>1</v>
      </c>
      <c r="P63" s="8"/>
    </row>
    <row r="64" spans="1:16" x14ac:dyDescent="0.3">
      <c r="A64" s="20" t="s">
        <v>85</v>
      </c>
      <c r="B64" s="3">
        <v>45881</v>
      </c>
      <c r="C64" s="3" t="s">
        <v>118</v>
      </c>
      <c r="D64" s="2">
        <v>1734</v>
      </c>
      <c r="E64" s="2">
        <v>-7</v>
      </c>
      <c r="F64" s="2">
        <v>4300</v>
      </c>
      <c r="G64" s="2">
        <v>2</v>
      </c>
      <c r="H64" s="2" t="s">
        <v>61</v>
      </c>
      <c r="I64" s="2">
        <v>8</v>
      </c>
      <c r="J64" s="2" t="s">
        <v>67</v>
      </c>
      <c r="K64" s="16">
        <f t="shared" si="4"/>
        <v>9.2092509816036259</v>
      </c>
      <c r="L64" s="2">
        <v>50</v>
      </c>
      <c r="M64" s="6">
        <f t="shared" si="5"/>
        <v>4</v>
      </c>
      <c r="N64" s="6" t="str">
        <f t="shared" si="6"/>
        <v>Zems-mērens</v>
      </c>
      <c r="O64" s="21">
        <f t="shared" si="7"/>
        <v>0.7</v>
      </c>
      <c r="P64" s="8"/>
    </row>
    <row r="65" spans="1:16" x14ac:dyDescent="0.3">
      <c r="A65" s="8" t="s">
        <v>86</v>
      </c>
      <c r="B65" s="3">
        <v>45882</v>
      </c>
      <c r="C65" s="3" t="s">
        <v>118</v>
      </c>
      <c r="D65" s="2">
        <v>1857</v>
      </c>
      <c r="E65" s="2">
        <v>-7</v>
      </c>
      <c r="F65" s="2">
        <v>3900</v>
      </c>
      <c r="G65" s="2">
        <v>1</v>
      </c>
      <c r="H65" s="2" t="s">
        <v>67</v>
      </c>
      <c r="I65" s="2">
        <v>4</v>
      </c>
      <c r="J65" s="2" t="s">
        <v>63</v>
      </c>
      <c r="K65" s="16">
        <f t="shared" si="4"/>
        <v>3.6627054305481135</v>
      </c>
      <c r="L65" s="2">
        <v>45</v>
      </c>
      <c r="M65" s="6">
        <f t="shared" si="5"/>
        <v>4</v>
      </c>
      <c r="N65" s="6" t="str">
        <f t="shared" si="6"/>
        <v>Zems-mērens</v>
      </c>
      <c r="O65" s="21">
        <f t="shared" si="7"/>
        <v>0.6</v>
      </c>
      <c r="P65" s="8"/>
    </row>
    <row r="66" spans="1:16" x14ac:dyDescent="0.3">
      <c r="A66" s="10" t="s">
        <v>87</v>
      </c>
      <c r="B66" s="3">
        <v>45883</v>
      </c>
      <c r="C66" s="3" t="s">
        <v>118</v>
      </c>
      <c r="D66" s="2">
        <v>2750</v>
      </c>
      <c r="E66" s="2">
        <v>-8</v>
      </c>
      <c r="F66" s="2">
        <v>4200</v>
      </c>
      <c r="G66" s="2">
        <v>2</v>
      </c>
      <c r="H66" s="2" t="s">
        <v>61</v>
      </c>
      <c r="I66" s="2">
        <v>5</v>
      </c>
      <c r="J66" s="2" t="s">
        <v>63</v>
      </c>
      <c r="K66" s="16">
        <f t="shared" ref="K66:K97" si="8">SQRT((
   (-I66*SIN(IF(J66="N",0,IF(J66="NE",45,IF(J66="E",90,IF(J66="SE",135,IF(J66="S",180,IF(J66="SW",225,IF(J66="W",270,IF(J66="NW",315))))))))) -G66*SIN(IF(H66="N",0,IF(H66="NE",45,IF(H66="E",90,IF(H66="SE",135,IF(H66="S",180,IF(H66="SW",225,IF(H66="W",270,IF(H66="NW",315))))))))))^2)+
(-I66*COS(IF(J66="N",0,IF(J66="NE",45,IF(J66="E",90,IF(J66="SE",135,IF(J66="S",180,IF(J66="SW",225,IF(J66="W",270,IF(J66="NW",315))))))))) -G66*COS(IF(H66="N",0,IF(H66="NE",45,IF(H66="E",90,IF(H66="SE",135,IF(H66="S",180,IF(H66="SW",225,IF(H66="W",270,IF(H66="NW",315))))))))))^2)</f>
        <v>3.0130123294099382</v>
      </c>
      <c r="L66" s="2">
        <v>55</v>
      </c>
      <c r="M66" s="6">
        <f t="shared" ref="M66:M97" si="9">SUM(IF(D66&gt;1000,2,0),IF(E66&lt;=-4,2,0),IF(F66&lt;=3000,1,0),IF(K66&gt;10,1,0),IF(L66&gt;=55,2,0))</f>
        <v>6</v>
      </c>
      <c r="N66" s="6" t="str">
        <f t="shared" ref="N66:N97" si="10">IF(M66&gt;=7,"Ļoti augsts",IF(M66&gt;=5,"Mērens-augsts",IF(M66&gt;=3,"Zems-mērens","Ļoti zems")))</f>
        <v>Mērens-augsts</v>
      </c>
      <c r="O66" s="21">
        <f t="shared" si="7"/>
        <v>2.2999999999999998</v>
      </c>
      <c r="P66" s="8"/>
    </row>
    <row r="67" spans="1:16" x14ac:dyDescent="0.3">
      <c r="A67" s="10" t="s">
        <v>88</v>
      </c>
      <c r="B67" s="3">
        <v>45884</v>
      </c>
      <c r="C67" s="3" t="s">
        <v>127</v>
      </c>
      <c r="D67" s="2">
        <v>1142</v>
      </c>
      <c r="E67" s="2">
        <v>-6</v>
      </c>
      <c r="F67" s="2">
        <v>4300</v>
      </c>
      <c r="G67" s="2">
        <v>3</v>
      </c>
      <c r="H67" s="2" t="s">
        <v>63</v>
      </c>
      <c r="I67" s="2">
        <v>7</v>
      </c>
      <c r="J67" s="2" t="s">
        <v>62</v>
      </c>
      <c r="K67" s="16">
        <f t="shared" si="8"/>
        <v>8.9478222786522004</v>
      </c>
      <c r="L67" s="2">
        <v>52</v>
      </c>
      <c r="M67" s="6">
        <f t="shared" si="9"/>
        <v>4</v>
      </c>
      <c r="N67" s="6" t="str">
        <f t="shared" si="10"/>
        <v>Zems-mērens</v>
      </c>
      <c r="O67" s="21">
        <f t="shared" si="7"/>
        <v>0.7</v>
      </c>
      <c r="P67" s="8"/>
    </row>
    <row r="68" spans="1:16" x14ac:dyDescent="0.3">
      <c r="A68" s="10" t="s">
        <v>89</v>
      </c>
      <c r="B68" s="3">
        <v>45885</v>
      </c>
      <c r="C68" s="3" t="s">
        <v>118</v>
      </c>
      <c r="D68" s="2">
        <v>1112</v>
      </c>
      <c r="E68" s="2">
        <v>-8</v>
      </c>
      <c r="F68" s="2">
        <v>3900</v>
      </c>
      <c r="G68" s="2">
        <v>2</v>
      </c>
      <c r="H68" s="2" t="s">
        <v>68</v>
      </c>
      <c r="I68" s="2">
        <v>4</v>
      </c>
      <c r="J68" s="2" t="s">
        <v>64</v>
      </c>
      <c r="K68" s="16">
        <f t="shared" si="8"/>
        <v>5.329648376870999</v>
      </c>
      <c r="L68" s="2">
        <v>50</v>
      </c>
      <c r="M68" s="6">
        <f t="shared" si="9"/>
        <v>4</v>
      </c>
      <c r="N68" s="6" t="str">
        <f t="shared" si="10"/>
        <v>Zems-mērens</v>
      </c>
      <c r="O68" s="21">
        <f>MIN(12,
ROUND(
IF(N(L68)&lt;55,0.5,
IF(N(L68)&lt;60,2,
IF(N(L68)&lt;65,4,
IF(N(L68)&lt;70,6,
IF(N(L68)&lt;75,10,12)))))*MIN(2,1+(N(K68)/20))
*IF(N(F68)&lt;=0,1,IF(F68&lt;3000,3000/F68,1)),1)
)</f>
        <v>0.6</v>
      </c>
      <c r="P68" s="8"/>
    </row>
    <row r="69" spans="1:16" x14ac:dyDescent="0.3">
      <c r="A69" s="10" t="s">
        <v>91</v>
      </c>
      <c r="B69" s="3">
        <v>45886</v>
      </c>
      <c r="C69" s="3" t="s">
        <v>108</v>
      </c>
      <c r="D69" s="2">
        <v>2378</v>
      </c>
      <c r="E69" s="2">
        <v>-6</v>
      </c>
      <c r="F69" s="2">
        <v>4600</v>
      </c>
      <c r="G69" s="2">
        <v>1</v>
      </c>
      <c r="H69" s="2" t="s">
        <v>62</v>
      </c>
      <c r="I69" s="2">
        <v>6</v>
      </c>
      <c r="J69" s="2" t="s">
        <v>68</v>
      </c>
      <c r="K69" s="16">
        <f t="shared" si="8"/>
        <v>6.7084265818996718</v>
      </c>
      <c r="L69" s="2">
        <v>55</v>
      </c>
      <c r="M69" s="6">
        <f t="shared" si="9"/>
        <v>6</v>
      </c>
      <c r="N69" s="6" t="str">
        <f t="shared" si="10"/>
        <v>Mērens-augsts</v>
      </c>
      <c r="O69" s="21">
        <f>MIN(12,
ROUND(
IF(N(L69)&lt;55,0.5,
IF(N(L69)&lt;60,2,
IF(N(L69)&lt;65,4,
IF(N(L69)&lt;70,6,
IF(N(L69)&lt;75,10,12)))))*MIN(2,1+(N(K69)/20))
*IF(N(F69)&lt;=0,1,IF(F69&lt;3000,3000/F69,1)),1)
)</f>
        <v>2.7</v>
      </c>
      <c r="P69" s="8"/>
    </row>
    <row r="70" spans="1:16" x14ac:dyDescent="0.3">
      <c r="A70" s="10" t="s">
        <v>90</v>
      </c>
      <c r="B70" s="3">
        <v>45887</v>
      </c>
      <c r="C70" s="3" t="s">
        <v>118</v>
      </c>
      <c r="D70" s="2">
        <v>2026</v>
      </c>
      <c r="E70" s="2">
        <v>-7</v>
      </c>
      <c r="F70" s="2">
        <v>4500</v>
      </c>
      <c r="G70" s="2">
        <v>2</v>
      </c>
      <c r="H70" s="2" t="s">
        <v>61</v>
      </c>
      <c r="I70" s="2">
        <v>15</v>
      </c>
      <c r="J70" s="2" t="s">
        <v>62</v>
      </c>
      <c r="K70" s="16">
        <f t="shared" si="8"/>
        <v>13.895768991190394</v>
      </c>
      <c r="L70" s="2">
        <v>60</v>
      </c>
      <c r="M70" s="6">
        <f t="shared" si="9"/>
        <v>7</v>
      </c>
      <c r="N70" s="6" t="str">
        <f t="shared" si="10"/>
        <v>Ļoti augsts</v>
      </c>
      <c r="O70" s="21">
        <f>MIN(12,
ROUND(
IF(N(L70)&lt;55,0.5,
IF(N(L70)&lt;60,2,
IF(N(L70)&lt;65,4,
IF(N(L70)&lt;70,6,
IF(N(L70)&lt;75,10,12)))))*MIN(2,1+(N(K70)/20))
*IF(N(F70)&lt;=0,1,IF(F70&lt;3000,3000/F70,1)),1)
)</f>
        <v>6.8</v>
      </c>
      <c r="P70" s="8"/>
    </row>
    <row r="71" spans="1:16" x14ac:dyDescent="0.3">
      <c r="A71" s="20" t="s">
        <v>93</v>
      </c>
      <c r="B71" s="3">
        <v>45888</v>
      </c>
      <c r="C71" s="3" t="s">
        <v>108</v>
      </c>
      <c r="D71" s="2">
        <v>2939</v>
      </c>
      <c r="E71" s="2">
        <v>-6</v>
      </c>
      <c r="F71" s="2">
        <v>4700</v>
      </c>
      <c r="G71" s="2">
        <v>2</v>
      </c>
      <c r="H71" s="2" t="s">
        <v>65</v>
      </c>
      <c r="I71" s="2">
        <v>4</v>
      </c>
      <c r="J71" s="2" t="s">
        <v>64</v>
      </c>
      <c r="K71" s="16">
        <f t="shared" si="8"/>
        <v>3.2287209379372306</v>
      </c>
      <c r="L71" s="2">
        <v>56</v>
      </c>
      <c r="M71" s="6">
        <f t="shared" si="9"/>
        <v>6</v>
      </c>
      <c r="N71" s="6" t="str">
        <f t="shared" si="10"/>
        <v>Mērens-augsts</v>
      </c>
      <c r="O71" s="21">
        <f t="shared" ref="O71:O114" si="11">MIN(12,
ROUND(
IF(N(L71)&lt;55,0.5,
IF(N(L71)&lt;60,2,
IF(N(L71)&lt;65,4,
IF(N(L71)&lt;70,6,
IF(N(L71)&lt;75,10,12)))))*MIN(2,1+(N(K71)/20))
*IF(N(F71)&lt;=0,1,IF(F71&lt;3000,3000/F71,1)),1)
)</f>
        <v>2.2999999999999998</v>
      </c>
      <c r="P71" s="8"/>
    </row>
    <row r="72" spans="1:16" x14ac:dyDescent="0.3">
      <c r="A72" s="8" t="s">
        <v>94</v>
      </c>
      <c r="B72" s="3">
        <v>45889</v>
      </c>
      <c r="C72" s="3" t="s">
        <v>118</v>
      </c>
      <c r="D72" s="2">
        <v>1227</v>
      </c>
      <c r="E72" s="2">
        <v>-5</v>
      </c>
      <c r="F72" s="2">
        <v>3900</v>
      </c>
      <c r="G72" s="2">
        <v>2</v>
      </c>
      <c r="H72" s="2" t="s">
        <v>61</v>
      </c>
      <c r="I72" s="2">
        <v>16</v>
      </c>
      <c r="J72" s="2" t="s">
        <v>66</v>
      </c>
      <c r="K72" s="16">
        <f t="shared" si="8"/>
        <v>17.135361311753385</v>
      </c>
      <c r="L72" s="2">
        <v>54</v>
      </c>
      <c r="M72" s="6">
        <f t="shared" si="9"/>
        <v>5</v>
      </c>
      <c r="N72" s="6" t="str">
        <f t="shared" si="10"/>
        <v>Mērens-augsts</v>
      </c>
      <c r="O72" s="21">
        <f t="shared" si="11"/>
        <v>0.9</v>
      </c>
      <c r="P72" s="8"/>
    </row>
    <row r="73" spans="1:16" x14ac:dyDescent="0.3">
      <c r="A73" s="10" t="s">
        <v>95</v>
      </c>
      <c r="B73" s="3">
        <v>45890</v>
      </c>
      <c r="C73" s="3" t="s">
        <v>118</v>
      </c>
      <c r="D73" s="2">
        <v>1735</v>
      </c>
      <c r="E73" s="2">
        <v>-5</v>
      </c>
      <c r="F73" s="2">
        <v>3600</v>
      </c>
      <c r="G73" s="2">
        <v>3</v>
      </c>
      <c r="H73" s="2" t="s">
        <v>68</v>
      </c>
      <c r="I73" s="2">
        <v>17</v>
      </c>
      <c r="J73" s="2" t="s">
        <v>66</v>
      </c>
      <c r="K73" s="16">
        <f t="shared" si="8"/>
        <v>15.883843714756974</v>
      </c>
      <c r="L73" s="2">
        <v>55</v>
      </c>
      <c r="M73" s="6">
        <f t="shared" si="9"/>
        <v>7</v>
      </c>
      <c r="N73" s="6" t="str">
        <f t="shared" si="10"/>
        <v>Ļoti augsts</v>
      </c>
      <c r="O73" s="21">
        <f t="shared" si="11"/>
        <v>3.6</v>
      </c>
      <c r="P73" s="8"/>
    </row>
    <row r="74" spans="1:16" x14ac:dyDescent="0.3">
      <c r="A74" s="10" t="s">
        <v>96</v>
      </c>
      <c r="B74" s="3">
        <v>45891</v>
      </c>
      <c r="C74" s="3" t="s">
        <v>122</v>
      </c>
      <c r="D74" s="2">
        <v>1023</v>
      </c>
      <c r="E74" s="2">
        <v>-4</v>
      </c>
      <c r="F74" s="2">
        <v>3800</v>
      </c>
      <c r="G74" s="2">
        <v>4</v>
      </c>
      <c r="H74" s="2" t="s">
        <v>64</v>
      </c>
      <c r="I74" s="2">
        <v>16</v>
      </c>
      <c r="J74" s="2" t="s">
        <v>66</v>
      </c>
      <c r="K74" s="16">
        <f t="shared" si="8"/>
        <v>18.418501963207252</v>
      </c>
      <c r="L74" s="2">
        <v>61</v>
      </c>
      <c r="M74" s="6">
        <f t="shared" si="9"/>
        <v>7</v>
      </c>
      <c r="N74" s="6" t="str">
        <f t="shared" si="10"/>
        <v>Ļoti augsts</v>
      </c>
      <c r="O74" s="21">
        <f t="shared" si="11"/>
        <v>7.7</v>
      </c>
      <c r="P74" s="8"/>
    </row>
    <row r="75" spans="1:16" x14ac:dyDescent="0.3">
      <c r="A75" s="10" t="s">
        <v>97</v>
      </c>
      <c r="B75" s="3">
        <v>45892</v>
      </c>
      <c r="C75" s="3" t="s">
        <v>118</v>
      </c>
      <c r="D75" s="2">
        <v>1098</v>
      </c>
      <c r="E75" s="2">
        <v>-4</v>
      </c>
      <c r="F75" s="2">
        <v>3600</v>
      </c>
      <c r="G75" s="2">
        <v>3</v>
      </c>
      <c r="H75" s="2" t="s">
        <v>61</v>
      </c>
      <c r="I75" s="2">
        <v>14</v>
      </c>
      <c r="J75" s="2" t="s">
        <v>68</v>
      </c>
      <c r="K75" s="16">
        <f t="shared" si="8"/>
        <v>11.014927228454143</v>
      </c>
      <c r="L75" s="2">
        <v>55</v>
      </c>
      <c r="M75" s="6">
        <f t="shared" si="9"/>
        <v>7</v>
      </c>
      <c r="N75" s="6" t="str">
        <f t="shared" si="10"/>
        <v>Ļoti augsts</v>
      </c>
      <c r="O75" s="21">
        <f t="shared" si="11"/>
        <v>3.1</v>
      </c>
      <c r="P75" s="8"/>
    </row>
    <row r="76" spans="1:16" x14ac:dyDescent="0.3">
      <c r="A76" s="10" t="s">
        <v>98</v>
      </c>
      <c r="B76" s="3">
        <v>45893</v>
      </c>
      <c r="C76" s="3" t="s">
        <v>108</v>
      </c>
      <c r="D76" s="2">
        <v>935</v>
      </c>
      <c r="E76" s="2">
        <v>-4</v>
      </c>
      <c r="F76" s="2">
        <v>4700</v>
      </c>
      <c r="G76" s="2">
        <v>3</v>
      </c>
      <c r="H76" s="2" t="s">
        <v>61</v>
      </c>
      <c r="I76" s="2">
        <v>12</v>
      </c>
      <c r="J76" s="2" t="s">
        <v>68</v>
      </c>
      <c r="K76" s="16">
        <f t="shared" si="8"/>
        <v>9.0156350785640562</v>
      </c>
      <c r="L76" s="2">
        <v>47</v>
      </c>
      <c r="M76" s="6">
        <f t="shared" si="9"/>
        <v>2</v>
      </c>
      <c r="N76" s="6" t="str">
        <f t="shared" si="10"/>
        <v>Ļoti zems</v>
      </c>
      <c r="O76" s="21">
        <f t="shared" si="11"/>
        <v>0.7</v>
      </c>
      <c r="P76" s="8"/>
    </row>
    <row r="77" spans="1:16" x14ac:dyDescent="0.3">
      <c r="A77" s="10" t="s">
        <v>100</v>
      </c>
      <c r="B77" s="3">
        <v>45894</v>
      </c>
      <c r="C77" s="3" t="s">
        <v>108</v>
      </c>
      <c r="D77" s="2">
        <v>232</v>
      </c>
      <c r="E77" s="2">
        <v>-4</v>
      </c>
      <c r="F77" s="2">
        <v>4500</v>
      </c>
      <c r="G77" s="2">
        <v>1</v>
      </c>
      <c r="H77" s="2" t="s">
        <v>66</v>
      </c>
      <c r="I77" s="2">
        <v>4</v>
      </c>
      <c r="J77" s="2" t="s">
        <v>61</v>
      </c>
      <c r="K77" s="16">
        <f t="shared" si="8"/>
        <v>4.604625490801812</v>
      </c>
      <c r="L77" s="2">
        <v>50</v>
      </c>
      <c r="M77" s="6">
        <f t="shared" si="9"/>
        <v>2</v>
      </c>
      <c r="N77" s="6" t="str">
        <f t="shared" si="10"/>
        <v>Ļoti zems</v>
      </c>
      <c r="O77" s="21">
        <f t="shared" si="11"/>
        <v>0.6</v>
      </c>
      <c r="P77" s="8"/>
    </row>
    <row r="78" spans="1:16" x14ac:dyDescent="0.3">
      <c r="A78" s="10" t="s">
        <v>101</v>
      </c>
      <c r="B78" s="3">
        <v>45895</v>
      </c>
      <c r="C78" s="3" t="s">
        <v>128</v>
      </c>
      <c r="D78" s="2">
        <v>314</v>
      </c>
      <c r="E78" s="2">
        <v>-3</v>
      </c>
      <c r="F78" s="2">
        <v>1800</v>
      </c>
      <c r="G78" s="2">
        <v>4</v>
      </c>
      <c r="H78" s="2" t="s">
        <v>64</v>
      </c>
      <c r="I78" s="2">
        <v>14</v>
      </c>
      <c r="J78" s="2" t="s">
        <v>68</v>
      </c>
      <c r="K78" s="16">
        <f t="shared" si="8"/>
        <v>16.457097640458532</v>
      </c>
      <c r="L78" s="2">
        <v>34</v>
      </c>
      <c r="M78" s="6">
        <f t="shared" si="9"/>
        <v>2</v>
      </c>
      <c r="N78" s="6" t="str">
        <f t="shared" si="10"/>
        <v>Ļoti zems</v>
      </c>
      <c r="O78" s="21">
        <f t="shared" si="11"/>
        <v>1.5</v>
      </c>
      <c r="P78" s="8"/>
    </row>
    <row r="79" spans="1:16" x14ac:dyDescent="0.3">
      <c r="A79" s="10" t="s">
        <v>102</v>
      </c>
      <c r="B79" s="3">
        <v>45896</v>
      </c>
      <c r="C79" s="3" t="s">
        <v>127</v>
      </c>
      <c r="D79" s="2">
        <v>1968</v>
      </c>
      <c r="E79" s="2">
        <v>-6</v>
      </c>
      <c r="F79" s="2">
        <v>3900</v>
      </c>
      <c r="G79" s="2">
        <v>1</v>
      </c>
      <c r="H79" s="2" t="s">
        <v>66</v>
      </c>
      <c r="I79" s="2">
        <v>14</v>
      </c>
      <c r="J79" s="2" t="s">
        <v>66</v>
      </c>
      <c r="K79" s="16">
        <f t="shared" si="8"/>
        <v>14.999999999999998</v>
      </c>
      <c r="L79" s="2">
        <v>55</v>
      </c>
      <c r="M79" s="6">
        <f t="shared" si="9"/>
        <v>7</v>
      </c>
      <c r="N79" s="6" t="str">
        <f t="shared" si="10"/>
        <v>Ļoti augsts</v>
      </c>
      <c r="O79" s="21">
        <f t="shared" si="11"/>
        <v>3.5</v>
      </c>
      <c r="P79" s="8"/>
    </row>
    <row r="80" spans="1:16" x14ac:dyDescent="0.3">
      <c r="A80" s="10" t="s">
        <v>103</v>
      </c>
      <c r="B80" s="3">
        <v>45897</v>
      </c>
      <c r="C80" s="3" t="s">
        <v>118</v>
      </c>
      <c r="D80" s="2">
        <v>1277</v>
      </c>
      <c r="E80" s="2">
        <v>-5</v>
      </c>
      <c r="F80" s="2">
        <v>4200</v>
      </c>
      <c r="G80" s="2">
        <v>4</v>
      </c>
      <c r="H80" s="2" t="s">
        <v>63</v>
      </c>
      <c r="I80" s="2">
        <v>23</v>
      </c>
      <c r="J80" s="2" t="s">
        <v>61</v>
      </c>
      <c r="K80" s="16">
        <f t="shared" si="8"/>
        <v>19.018933680257206</v>
      </c>
      <c r="L80" s="2">
        <v>55</v>
      </c>
      <c r="M80" s="6">
        <f t="shared" si="9"/>
        <v>7</v>
      </c>
      <c r="N80" s="6" t="str">
        <f t="shared" si="10"/>
        <v>Ļoti augsts</v>
      </c>
      <c r="O80" s="21">
        <f t="shared" si="11"/>
        <v>3.9</v>
      </c>
      <c r="P80" s="8"/>
    </row>
    <row r="81" spans="1:16" x14ac:dyDescent="0.3">
      <c r="A81" s="10" t="s">
        <v>104</v>
      </c>
      <c r="B81" s="3">
        <v>45898</v>
      </c>
      <c r="C81" s="3" t="s">
        <v>118</v>
      </c>
      <c r="D81" s="2">
        <v>1039</v>
      </c>
      <c r="E81" s="2">
        <v>-6</v>
      </c>
      <c r="F81" s="2">
        <v>3200</v>
      </c>
      <c r="G81" s="2">
        <v>1</v>
      </c>
      <c r="H81" s="2" t="s">
        <v>65</v>
      </c>
      <c r="I81" s="2">
        <v>12</v>
      </c>
      <c r="J81" s="2" t="s">
        <v>66</v>
      </c>
      <c r="K81" s="16">
        <f t="shared" si="8"/>
        <v>11.00426698860999</v>
      </c>
      <c r="L81" s="2">
        <v>56</v>
      </c>
      <c r="M81" s="6">
        <f t="shared" si="9"/>
        <v>7</v>
      </c>
      <c r="N81" s="6" t="str">
        <f t="shared" si="10"/>
        <v>Ļoti augsts</v>
      </c>
      <c r="O81" s="21">
        <f t="shared" si="11"/>
        <v>3.1</v>
      </c>
      <c r="P81" s="8"/>
    </row>
    <row r="82" spans="1:16" x14ac:dyDescent="0.3">
      <c r="A82" s="10" t="s">
        <v>105</v>
      </c>
      <c r="B82" s="3">
        <v>45899</v>
      </c>
      <c r="C82" s="3" t="s">
        <v>118</v>
      </c>
      <c r="D82" s="2">
        <v>318</v>
      </c>
      <c r="E82" s="2">
        <v>-4</v>
      </c>
      <c r="F82" s="2">
        <v>3200</v>
      </c>
      <c r="G82" s="2">
        <v>3</v>
      </c>
      <c r="H82" s="2" t="s">
        <v>64</v>
      </c>
      <c r="I82" s="2">
        <v>16</v>
      </c>
      <c r="J82" s="2" t="s">
        <v>68</v>
      </c>
      <c r="K82" s="16">
        <f t="shared" si="8"/>
        <v>17.760374740598859</v>
      </c>
      <c r="L82" s="2">
        <v>59</v>
      </c>
      <c r="M82" s="6">
        <f t="shared" si="9"/>
        <v>5</v>
      </c>
      <c r="N82" s="6" t="str">
        <f t="shared" si="10"/>
        <v>Mērens-augsts</v>
      </c>
      <c r="O82" s="21">
        <f t="shared" si="11"/>
        <v>3.8</v>
      </c>
      <c r="P82" s="8"/>
    </row>
    <row r="83" spans="1:16" x14ac:dyDescent="0.3">
      <c r="A83" s="10" t="s">
        <v>106</v>
      </c>
      <c r="B83" s="3">
        <v>45900</v>
      </c>
      <c r="C83" s="3" t="s">
        <v>108</v>
      </c>
      <c r="D83" s="2">
        <v>1895</v>
      </c>
      <c r="E83" s="2">
        <v>-4</v>
      </c>
      <c r="F83" s="2">
        <v>5000</v>
      </c>
      <c r="G83" s="2">
        <v>2</v>
      </c>
      <c r="H83" s="2" t="s">
        <v>65</v>
      </c>
      <c r="I83" s="2">
        <v>2</v>
      </c>
      <c r="J83" s="2" t="s">
        <v>68</v>
      </c>
      <c r="K83" s="16">
        <f t="shared" si="8"/>
        <v>3.3073486272000356</v>
      </c>
      <c r="L83" s="2">
        <v>51</v>
      </c>
      <c r="M83" s="6">
        <f t="shared" si="9"/>
        <v>4</v>
      </c>
      <c r="N83" s="6" t="str">
        <f t="shared" si="10"/>
        <v>Zems-mērens</v>
      </c>
      <c r="O83" s="21">
        <f t="shared" si="11"/>
        <v>0.6</v>
      </c>
      <c r="P83" s="8"/>
    </row>
    <row r="84" spans="1:16" x14ac:dyDescent="0.3">
      <c r="A84" s="10" t="s">
        <v>107</v>
      </c>
      <c r="B84" s="3">
        <v>45901</v>
      </c>
      <c r="C84" s="3" t="s">
        <v>121</v>
      </c>
      <c r="D84" s="2">
        <v>965</v>
      </c>
      <c r="E84" s="2">
        <v>-5</v>
      </c>
      <c r="F84" s="2">
        <v>3500</v>
      </c>
      <c r="G84" s="2">
        <v>1</v>
      </c>
      <c r="H84" s="2" t="s">
        <v>61</v>
      </c>
      <c r="I84" s="2">
        <v>28</v>
      </c>
      <c r="J84" s="2" t="s">
        <v>66</v>
      </c>
      <c r="K84" s="16">
        <f t="shared" si="8"/>
        <v>28.538010291080088</v>
      </c>
      <c r="L84" s="2">
        <v>64</v>
      </c>
      <c r="M84" s="6">
        <f t="shared" si="9"/>
        <v>5</v>
      </c>
      <c r="N84" s="6" t="str">
        <f t="shared" si="10"/>
        <v>Mērens-augsts</v>
      </c>
      <c r="O84" s="21">
        <f t="shared" si="11"/>
        <v>8</v>
      </c>
      <c r="P84" s="8"/>
    </row>
    <row r="85" spans="1:16" x14ac:dyDescent="0.3">
      <c r="A85" s="20" t="s">
        <v>129</v>
      </c>
      <c r="B85" s="3">
        <v>45902</v>
      </c>
      <c r="C85" s="3" t="s">
        <v>126</v>
      </c>
      <c r="D85" s="2">
        <v>1373</v>
      </c>
      <c r="E85" s="2">
        <v>-4</v>
      </c>
      <c r="F85" s="2">
        <v>3800</v>
      </c>
      <c r="G85" s="2">
        <v>1</v>
      </c>
      <c r="H85" s="2" t="s">
        <v>63</v>
      </c>
      <c r="I85" s="2">
        <v>10</v>
      </c>
      <c r="J85" s="2" t="s">
        <v>61</v>
      </c>
      <c r="K85" s="16">
        <f t="shared" si="8"/>
        <v>9.0043458006218469</v>
      </c>
      <c r="L85" s="2">
        <v>58</v>
      </c>
      <c r="M85" s="6">
        <f t="shared" si="9"/>
        <v>6</v>
      </c>
      <c r="N85" s="6" t="str">
        <f t="shared" si="10"/>
        <v>Mērens-augsts</v>
      </c>
      <c r="O85" s="21">
        <f t="shared" si="11"/>
        <v>2.9</v>
      </c>
      <c r="P85" s="8"/>
    </row>
    <row r="86" spans="1:16" x14ac:dyDescent="0.3">
      <c r="A86" s="8" t="s">
        <v>130</v>
      </c>
      <c r="B86" s="3">
        <v>45903</v>
      </c>
      <c r="C86" s="3" t="s">
        <v>131</v>
      </c>
      <c r="D86" s="2">
        <v>1025</v>
      </c>
      <c r="E86" s="2">
        <v>-4</v>
      </c>
      <c r="F86" s="2">
        <v>3700</v>
      </c>
      <c r="G86" s="2">
        <v>3</v>
      </c>
      <c r="H86" s="2" t="s">
        <v>63</v>
      </c>
      <c r="I86" s="2">
        <v>11</v>
      </c>
      <c r="J86" s="2" t="s">
        <v>65</v>
      </c>
      <c r="K86" s="16">
        <f t="shared" si="8"/>
        <v>12.83242967103152</v>
      </c>
      <c r="L86" s="2">
        <v>59</v>
      </c>
      <c r="M86" s="6">
        <f t="shared" si="9"/>
        <v>7</v>
      </c>
      <c r="N86" s="6" t="str">
        <f t="shared" si="10"/>
        <v>Ļoti augsts</v>
      </c>
      <c r="O86" s="21">
        <f t="shared" si="11"/>
        <v>3.3</v>
      </c>
      <c r="P86" s="8"/>
    </row>
    <row r="87" spans="1:16" x14ac:dyDescent="0.3">
      <c r="A87" s="10" t="s">
        <v>132</v>
      </c>
      <c r="B87" s="3">
        <v>45904</v>
      </c>
      <c r="C87" s="23" t="s">
        <v>127</v>
      </c>
      <c r="D87" s="2">
        <v>1301</v>
      </c>
      <c r="E87" s="2">
        <v>-4</v>
      </c>
      <c r="F87" s="2">
        <v>3700</v>
      </c>
      <c r="G87" s="2">
        <v>1</v>
      </c>
      <c r="H87" s="2" t="s">
        <v>66</v>
      </c>
      <c r="I87" s="2">
        <v>15</v>
      </c>
      <c r="J87" s="2" t="s">
        <v>66</v>
      </c>
      <c r="K87" s="16">
        <f t="shared" si="8"/>
        <v>16</v>
      </c>
      <c r="L87" s="2">
        <v>53</v>
      </c>
      <c r="M87" s="6">
        <f t="shared" si="9"/>
        <v>5</v>
      </c>
      <c r="N87" s="6" t="str">
        <f t="shared" si="10"/>
        <v>Mērens-augsts</v>
      </c>
      <c r="O87" s="21">
        <f t="shared" si="11"/>
        <v>0.9</v>
      </c>
      <c r="P87" s="8"/>
    </row>
    <row r="88" spans="1:16" x14ac:dyDescent="0.3">
      <c r="A88" s="8" t="s">
        <v>134</v>
      </c>
      <c r="B88" s="3">
        <v>45905</v>
      </c>
      <c r="C88" s="3" t="s">
        <v>126</v>
      </c>
      <c r="D88" s="2">
        <v>892</v>
      </c>
      <c r="E88" s="2">
        <v>-4</v>
      </c>
      <c r="F88" s="2">
        <v>3800</v>
      </c>
      <c r="G88" s="2">
        <v>2</v>
      </c>
      <c r="H88" s="2" t="s">
        <v>62</v>
      </c>
      <c r="I88" s="2">
        <v>15</v>
      </c>
      <c r="J88" s="2" t="s">
        <v>61</v>
      </c>
      <c r="K88" s="16">
        <f t="shared" si="8"/>
        <v>13.895768991190394</v>
      </c>
      <c r="L88" s="2">
        <v>53</v>
      </c>
      <c r="M88" s="6">
        <f t="shared" si="9"/>
        <v>3</v>
      </c>
      <c r="N88" s="6" t="str">
        <f t="shared" si="10"/>
        <v>Zems-mērens</v>
      </c>
      <c r="O88" s="21">
        <f t="shared" si="11"/>
        <v>0.8</v>
      </c>
      <c r="P88" s="8"/>
    </row>
    <row r="89" spans="1:16" x14ac:dyDescent="0.3">
      <c r="A89" s="10" t="s">
        <v>133</v>
      </c>
      <c r="B89" s="3">
        <v>45906</v>
      </c>
      <c r="C89" s="3" t="s">
        <v>126</v>
      </c>
      <c r="D89" s="2">
        <v>1176</v>
      </c>
      <c r="E89" s="2">
        <v>-4</v>
      </c>
      <c r="F89" s="2">
        <v>3800</v>
      </c>
      <c r="G89" s="2">
        <v>2</v>
      </c>
      <c r="H89" s="2" t="s">
        <v>63</v>
      </c>
      <c r="I89" s="2">
        <v>13</v>
      </c>
      <c r="J89" s="2" t="s">
        <v>61</v>
      </c>
      <c r="K89" s="16">
        <f t="shared" si="8"/>
        <v>11.009243051756934</v>
      </c>
      <c r="L89" s="2">
        <v>54</v>
      </c>
      <c r="M89" s="6">
        <f t="shared" si="9"/>
        <v>5</v>
      </c>
      <c r="N89" s="6" t="str">
        <f t="shared" si="10"/>
        <v>Mērens-augsts</v>
      </c>
      <c r="O89" s="21">
        <f t="shared" si="11"/>
        <v>0.8</v>
      </c>
      <c r="P89" s="8"/>
    </row>
    <row r="90" spans="1:16" x14ac:dyDescent="0.3">
      <c r="A90" s="10" t="s">
        <v>135</v>
      </c>
      <c r="B90" s="3">
        <v>45907</v>
      </c>
      <c r="C90" s="3" t="s">
        <v>113</v>
      </c>
      <c r="D90" s="2">
        <v>510</v>
      </c>
      <c r="E90" s="2">
        <v>-4</v>
      </c>
      <c r="F90" s="2">
        <v>3200</v>
      </c>
      <c r="G90" s="2">
        <v>2</v>
      </c>
      <c r="H90" s="2" t="s">
        <v>62</v>
      </c>
      <c r="I90" s="2">
        <v>9</v>
      </c>
      <c r="J90" s="2" t="s">
        <v>61</v>
      </c>
      <c r="K90" s="16">
        <f t="shared" si="8"/>
        <v>7.9658921354683869</v>
      </c>
      <c r="L90" s="2">
        <v>55</v>
      </c>
      <c r="M90" s="6">
        <f t="shared" si="9"/>
        <v>4</v>
      </c>
      <c r="N90" s="6" t="str">
        <f t="shared" si="10"/>
        <v>Zems-mērens</v>
      </c>
      <c r="O90" s="21">
        <f t="shared" si="11"/>
        <v>2.8</v>
      </c>
      <c r="P90" s="8"/>
    </row>
    <row r="91" spans="1:16" x14ac:dyDescent="0.3">
      <c r="A91" s="20" t="s">
        <v>136</v>
      </c>
      <c r="B91" s="3">
        <v>45908</v>
      </c>
      <c r="C91" s="24" t="s">
        <v>113</v>
      </c>
      <c r="D91" s="2">
        <v>445</v>
      </c>
      <c r="E91" s="2">
        <v>-4</v>
      </c>
      <c r="F91" s="2">
        <v>3200</v>
      </c>
      <c r="G91" s="2">
        <v>1</v>
      </c>
      <c r="H91" s="2" t="s">
        <v>63</v>
      </c>
      <c r="I91" s="2">
        <v>9</v>
      </c>
      <c r="J91" s="2" t="s">
        <v>61</v>
      </c>
      <c r="K91" s="16">
        <f t="shared" si="8"/>
        <v>8.004399975479652</v>
      </c>
      <c r="L91" s="2">
        <v>56</v>
      </c>
      <c r="M91" s="6">
        <f t="shared" si="9"/>
        <v>4</v>
      </c>
      <c r="N91" s="6" t="str">
        <f t="shared" si="10"/>
        <v>Zems-mērens</v>
      </c>
      <c r="O91" s="21">
        <f t="shared" si="11"/>
        <v>2.8</v>
      </c>
      <c r="P91" s="8"/>
    </row>
    <row r="92" spans="1:16" x14ac:dyDescent="0.3">
      <c r="A92" s="8" t="s">
        <v>137</v>
      </c>
      <c r="B92" s="3">
        <v>45909</v>
      </c>
      <c r="C92" s="3" t="s">
        <v>120</v>
      </c>
      <c r="D92" s="2">
        <v>2020</v>
      </c>
      <c r="E92" s="2">
        <v>-6</v>
      </c>
      <c r="F92" s="2">
        <v>3600</v>
      </c>
      <c r="G92" s="2">
        <v>3</v>
      </c>
      <c r="H92" s="2" t="s">
        <v>61</v>
      </c>
      <c r="I92" s="2">
        <v>13</v>
      </c>
      <c r="J92" s="2" t="s">
        <v>64</v>
      </c>
      <c r="K92" s="16">
        <f t="shared" si="8"/>
        <v>11.960361948616969</v>
      </c>
      <c r="L92" s="2">
        <v>55</v>
      </c>
      <c r="M92" s="6">
        <f t="shared" si="9"/>
        <v>7</v>
      </c>
      <c r="N92" s="6" t="str">
        <f t="shared" si="10"/>
        <v>Ļoti augsts</v>
      </c>
      <c r="O92" s="21">
        <f t="shared" si="11"/>
        <v>3.2</v>
      </c>
      <c r="P92" s="8"/>
    </row>
    <row r="93" spans="1:16" x14ac:dyDescent="0.3">
      <c r="A93" s="8" t="s">
        <v>155</v>
      </c>
      <c r="B93" s="3">
        <v>45910</v>
      </c>
      <c r="C93" s="3" t="s">
        <v>118</v>
      </c>
      <c r="D93" s="2">
        <v>836</v>
      </c>
      <c r="E93" s="2">
        <v>-4</v>
      </c>
      <c r="F93" s="2">
        <v>3000</v>
      </c>
      <c r="G93" s="2">
        <v>2</v>
      </c>
      <c r="H93" s="2" t="s">
        <v>66</v>
      </c>
      <c r="I93" s="2">
        <v>5</v>
      </c>
      <c r="J93" s="2" t="s">
        <v>61</v>
      </c>
      <c r="K93" s="16">
        <f t="shared" si="8"/>
        <v>6.2854148452074821</v>
      </c>
      <c r="L93" s="2">
        <v>53</v>
      </c>
      <c r="M93" s="6">
        <f t="shared" si="9"/>
        <v>3</v>
      </c>
      <c r="N93" s="6" t="str">
        <f t="shared" si="10"/>
        <v>Zems-mērens</v>
      </c>
      <c r="O93" s="21">
        <f t="shared" si="11"/>
        <v>0.7</v>
      </c>
      <c r="P93" s="8"/>
    </row>
    <row r="94" spans="1:16" x14ac:dyDescent="0.3">
      <c r="A94" s="8" t="s">
        <v>156</v>
      </c>
      <c r="B94" s="3">
        <v>45911</v>
      </c>
      <c r="C94" s="3" t="s">
        <v>118</v>
      </c>
      <c r="D94" s="2">
        <v>726</v>
      </c>
      <c r="E94" s="2">
        <v>-4</v>
      </c>
      <c r="F94" s="2">
        <v>3500</v>
      </c>
      <c r="G94" s="2">
        <v>2</v>
      </c>
      <c r="H94" s="2" t="s">
        <v>64</v>
      </c>
      <c r="I94" s="2">
        <v>14</v>
      </c>
      <c r="J94" s="2" t="s">
        <v>61</v>
      </c>
      <c r="K94" s="16">
        <f t="shared" si="8"/>
        <v>13.225274193632679</v>
      </c>
      <c r="L94" s="2">
        <v>54</v>
      </c>
      <c r="M94" s="6">
        <f t="shared" si="9"/>
        <v>3</v>
      </c>
      <c r="N94" s="6" t="str">
        <f t="shared" si="10"/>
        <v>Zems-mērens</v>
      </c>
      <c r="O94" s="21">
        <f t="shared" si="11"/>
        <v>0.8</v>
      </c>
      <c r="P94" s="8"/>
    </row>
    <row r="95" spans="1:16" x14ac:dyDescent="0.3">
      <c r="A95" s="8" t="s">
        <v>157</v>
      </c>
      <c r="B95" s="3">
        <v>45912</v>
      </c>
      <c r="C95" s="3" t="s">
        <v>121</v>
      </c>
      <c r="D95" s="2">
        <v>981</v>
      </c>
      <c r="E95" s="2">
        <v>-4</v>
      </c>
      <c r="F95" s="2">
        <v>3500</v>
      </c>
      <c r="G95" s="2">
        <v>1</v>
      </c>
      <c r="H95" s="2" t="s">
        <v>67</v>
      </c>
      <c r="I95" s="2">
        <v>11</v>
      </c>
      <c r="J95" s="2" t="s">
        <v>65</v>
      </c>
      <c r="K95" s="16">
        <f t="shared" si="8"/>
        <v>11.556689999908713</v>
      </c>
      <c r="L95" s="2">
        <v>49</v>
      </c>
      <c r="M95" s="6">
        <f t="shared" si="9"/>
        <v>3</v>
      </c>
      <c r="N95" s="6" t="str">
        <f t="shared" si="10"/>
        <v>Zems-mērens</v>
      </c>
      <c r="O95" s="21">
        <f t="shared" si="11"/>
        <v>0.8</v>
      </c>
      <c r="P95" s="8"/>
    </row>
    <row r="96" spans="1:16" x14ac:dyDescent="0.3">
      <c r="A96" s="8" t="s">
        <v>138</v>
      </c>
      <c r="B96" s="3">
        <v>45913</v>
      </c>
      <c r="C96" s="3" t="s">
        <v>121</v>
      </c>
      <c r="D96" s="2">
        <v>1719</v>
      </c>
      <c r="E96" s="2">
        <v>-6</v>
      </c>
      <c r="F96" s="2">
        <v>4000</v>
      </c>
      <c r="G96" s="2">
        <v>1</v>
      </c>
      <c r="H96" s="2" t="s">
        <v>67</v>
      </c>
      <c r="I96" s="2">
        <v>24</v>
      </c>
      <c r="J96" s="2" t="s">
        <v>64</v>
      </c>
      <c r="K96" s="16">
        <f t="shared" si="8"/>
        <v>23.004081896768302</v>
      </c>
      <c r="L96" s="2">
        <v>55</v>
      </c>
      <c r="M96" s="6">
        <f t="shared" si="9"/>
        <v>7</v>
      </c>
      <c r="N96" s="6" t="str">
        <f t="shared" si="10"/>
        <v>Ļoti augsts</v>
      </c>
      <c r="O96" s="21">
        <f t="shared" si="11"/>
        <v>4</v>
      </c>
      <c r="P96" s="8"/>
    </row>
    <row r="97" spans="1:16" x14ac:dyDescent="0.3">
      <c r="A97" s="10" t="s">
        <v>139</v>
      </c>
      <c r="B97" s="3">
        <v>45914</v>
      </c>
      <c r="C97" s="25" t="s">
        <v>140</v>
      </c>
      <c r="D97" s="2">
        <v>898</v>
      </c>
      <c r="E97" s="2">
        <v>-4</v>
      </c>
      <c r="F97" s="2">
        <v>3500</v>
      </c>
      <c r="G97" s="2">
        <v>4</v>
      </c>
      <c r="H97" s="2" t="s">
        <v>61</v>
      </c>
      <c r="I97" s="2">
        <v>23</v>
      </c>
      <c r="J97" s="2" t="s">
        <v>64</v>
      </c>
      <c r="K97" s="16">
        <f t="shared" si="8"/>
        <v>21.507079174825964</v>
      </c>
      <c r="L97" s="2">
        <v>56</v>
      </c>
      <c r="M97" s="6">
        <f t="shared" si="9"/>
        <v>5</v>
      </c>
      <c r="N97" s="6" t="str">
        <f t="shared" si="10"/>
        <v>Mērens-augsts</v>
      </c>
      <c r="O97" s="21">
        <f t="shared" si="11"/>
        <v>4</v>
      </c>
      <c r="P97" s="8"/>
    </row>
    <row r="98" spans="1:16" x14ac:dyDescent="0.3">
      <c r="A98" s="10" t="s">
        <v>141</v>
      </c>
      <c r="B98" s="3">
        <v>45915</v>
      </c>
      <c r="C98" s="25" t="s">
        <v>140</v>
      </c>
      <c r="D98" s="2">
        <v>797</v>
      </c>
      <c r="E98" s="2">
        <v>-4</v>
      </c>
      <c r="F98" s="2">
        <v>3600</v>
      </c>
      <c r="G98" s="2">
        <v>2</v>
      </c>
      <c r="H98" s="2" t="s">
        <v>65</v>
      </c>
      <c r="I98" s="2">
        <v>22</v>
      </c>
      <c r="J98" s="2" t="s">
        <v>64</v>
      </c>
      <c r="K98" s="16">
        <f t="shared" ref="K98:K114" si="12">SQRT((
   (-I98*SIN(IF(J98="N",0,IF(J98="NE",45,IF(J98="E",90,IF(J98="SE",135,IF(J98="S",180,IF(J98="SW",225,IF(J98="W",270,IF(J98="NW",315))))))))) -G98*SIN(IF(H98="N",0,IF(H98="NE",45,IF(H98="E",90,IF(H98="SE",135,IF(H98="S",180,IF(H98="SW",225,IF(H98="W",270,IF(H98="NW",315))))))))))^2)+
(-I98*COS(IF(J98="N",0,IF(J98="NE",45,IF(J98="E",90,IF(J98="SE",135,IF(J98="S",180,IF(J98="SW",225,IF(J98="W",270,IF(J98="NW",315))))))))) -G98*COS(IF(H98="N",0,IF(H98="NE",45,IF(H98="E",90,IF(H98="SE",135,IF(H98="S",180,IF(H98="SW",225,IF(H98="W",270,IF(H98="NW",315))))))))))^2)</f>
        <v>20.864695394922702</v>
      </c>
      <c r="L98" s="28">
        <v>56</v>
      </c>
      <c r="M98" s="6">
        <f t="shared" ref="M98:M114" si="13">SUM(IF(D98&gt;1000,2,0),IF(E98&lt;=-4,2,0),IF(F98&lt;=3000,1,0),IF(K98&gt;10,1,0),IF(L98&gt;=55,2,0))</f>
        <v>5</v>
      </c>
      <c r="N98" s="6" t="str">
        <f t="shared" ref="N98:N114" si="14">IF(M98&gt;=7,"Ļoti augsts",IF(M98&gt;=5,"Mērens-augsts",IF(M98&gt;=3,"Zems-mērens","Ļoti zems")))</f>
        <v>Mērens-augsts</v>
      </c>
      <c r="O98" s="21">
        <f t="shared" si="11"/>
        <v>4</v>
      </c>
      <c r="P98" s="8"/>
    </row>
    <row r="99" spans="1:16" x14ac:dyDescent="0.3">
      <c r="A99" s="10" t="s">
        <v>142</v>
      </c>
      <c r="B99" s="3">
        <v>45916</v>
      </c>
      <c r="C99" s="3" t="s">
        <v>113</v>
      </c>
      <c r="D99" s="2">
        <v>849</v>
      </c>
      <c r="E99" s="2">
        <v>-4</v>
      </c>
      <c r="F99" s="2">
        <v>2700</v>
      </c>
      <c r="G99" s="2">
        <v>7</v>
      </c>
      <c r="H99" s="2" t="s">
        <v>66</v>
      </c>
      <c r="I99" s="2">
        <v>18</v>
      </c>
      <c r="J99" s="2" t="s">
        <v>64</v>
      </c>
      <c r="K99" s="16">
        <f t="shared" si="12"/>
        <v>22.480683734754777</v>
      </c>
      <c r="L99" s="28">
        <v>55</v>
      </c>
      <c r="M99" s="6">
        <f t="shared" si="13"/>
        <v>6</v>
      </c>
      <c r="N99" s="6" t="str">
        <f t="shared" si="14"/>
        <v>Mērens-augsts</v>
      </c>
      <c r="O99" s="21">
        <f t="shared" si="11"/>
        <v>4.4000000000000004</v>
      </c>
      <c r="P99" s="8"/>
    </row>
    <row r="100" spans="1:16" x14ac:dyDescent="0.3">
      <c r="A100" s="26" t="s">
        <v>166</v>
      </c>
      <c r="B100" s="3">
        <v>45917</v>
      </c>
      <c r="C100" s="3" t="s">
        <v>118</v>
      </c>
      <c r="D100" s="2">
        <v>1215</v>
      </c>
      <c r="E100" s="2">
        <v>-3</v>
      </c>
      <c r="F100" s="2">
        <v>3500</v>
      </c>
      <c r="G100" s="2">
        <v>4</v>
      </c>
      <c r="H100" s="2" t="s">
        <v>65</v>
      </c>
      <c r="I100" s="2">
        <v>8</v>
      </c>
      <c r="J100" s="2" t="s">
        <v>67</v>
      </c>
      <c r="K100" s="16">
        <f t="shared" si="12"/>
        <v>10.659296753741998</v>
      </c>
      <c r="L100" s="28">
        <v>58</v>
      </c>
      <c r="M100" s="6">
        <f t="shared" si="13"/>
        <v>5</v>
      </c>
      <c r="N100" s="6" t="str">
        <f t="shared" si="14"/>
        <v>Mērens-augsts</v>
      </c>
      <c r="O100" s="21">
        <f t="shared" si="11"/>
        <v>3.1</v>
      </c>
      <c r="P100" s="8"/>
    </row>
    <row r="101" spans="1:16" x14ac:dyDescent="0.3">
      <c r="A101" s="26" t="s">
        <v>165</v>
      </c>
      <c r="B101" s="27">
        <v>45918</v>
      </c>
      <c r="C101" s="27" t="s">
        <v>108</v>
      </c>
      <c r="D101" s="28">
        <v>1267</v>
      </c>
      <c r="E101" s="28">
        <v>-3</v>
      </c>
      <c r="F101" s="28">
        <v>3100</v>
      </c>
      <c r="G101" s="28">
        <v>4</v>
      </c>
      <c r="H101" s="28" t="s">
        <v>62</v>
      </c>
      <c r="I101" s="28">
        <v>8</v>
      </c>
      <c r="J101" s="28" t="s">
        <v>63</v>
      </c>
      <c r="K101" s="29">
        <f t="shared" si="12"/>
        <v>10.659296753742</v>
      </c>
      <c r="L101" s="28">
        <v>53</v>
      </c>
      <c r="M101" s="6">
        <f t="shared" si="13"/>
        <v>3</v>
      </c>
      <c r="N101" s="6" t="str">
        <f t="shared" si="14"/>
        <v>Zems-mērens</v>
      </c>
      <c r="O101" s="21">
        <f t="shared" si="11"/>
        <v>0.8</v>
      </c>
      <c r="P101" s="8"/>
    </row>
    <row r="102" spans="1:16" x14ac:dyDescent="0.3">
      <c r="A102" s="26" t="s">
        <v>158</v>
      </c>
      <c r="B102" s="27">
        <v>45919</v>
      </c>
      <c r="C102" s="27" t="s">
        <v>118</v>
      </c>
      <c r="D102" s="28">
        <v>1327</v>
      </c>
      <c r="E102" s="28">
        <v>-4</v>
      </c>
      <c r="F102" s="28">
        <v>4000</v>
      </c>
      <c r="G102" s="28">
        <v>1</v>
      </c>
      <c r="H102" s="28" t="s">
        <v>66</v>
      </c>
      <c r="I102" s="28">
        <v>9</v>
      </c>
      <c r="J102" s="28" t="s">
        <v>64</v>
      </c>
      <c r="K102" s="29">
        <f t="shared" si="12"/>
        <v>9.5632523651067114</v>
      </c>
      <c r="L102" s="28">
        <v>58</v>
      </c>
      <c r="M102" s="6">
        <f t="shared" si="13"/>
        <v>6</v>
      </c>
      <c r="N102" s="6" t="str">
        <f t="shared" si="14"/>
        <v>Mērens-augsts</v>
      </c>
      <c r="O102" s="21">
        <f t="shared" si="11"/>
        <v>3</v>
      </c>
      <c r="P102" s="8"/>
    </row>
    <row r="103" spans="1:16" x14ac:dyDescent="0.3">
      <c r="A103" s="8"/>
      <c r="B103" s="3">
        <v>45920</v>
      </c>
      <c r="C103" s="3"/>
      <c r="D103" s="2"/>
      <c r="E103" s="2"/>
      <c r="F103" s="2"/>
      <c r="G103" s="2"/>
      <c r="H103" s="2"/>
      <c r="I103" s="2"/>
      <c r="J103" s="2"/>
      <c r="K103" s="16">
        <f t="shared" si="12"/>
        <v>0</v>
      </c>
      <c r="L103" s="2"/>
      <c r="M103" s="6">
        <f t="shared" si="13"/>
        <v>1</v>
      </c>
      <c r="N103" s="6" t="str">
        <f t="shared" si="14"/>
        <v>Ļoti zems</v>
      </c>
      <c r="O103" s="21">
        <f t="shared" si="11"/>
        <v>0.5</v>
      </c>
      <c r="P103" s="8"/>
    </row>
    <row r="104" spans="1:16" x14ac:dyDescent="0.3">
      <c r="A104" s="26" t="s">
        <v>164</v>
      </c>
      <c r="B104" s="3">
        <v>45921</v>
      </c>
      <c r="C104" s="3" t="s">
        <v>108</v>
      </c>
      <c r="D104" s="2">
        <v>516</v>
      </c>
      <c r="E104" s="2">
        <v>-3</v>
      </c>
      <c r="F104" s="2">
        <v>3800</v>
      </c>
      <c r="G104" s="2">
        <v>2</v>
      </c>
      <c r="H104" s="2" t="s">
        <v>62</v>
      </c>
      <c r="I104" s="2">
        <v>9</v>
      </c>
      <c r="J104" s="2" t="s">
        <v>62</v>
      </c>
      <c r="K104" s="16">
        <f t="shared" si="12"/>
        <v>11</v>
      </c>
      <c r="L104" s="28">
        <v>54</v>
      </c>
      <c r="M104" s="6">
        <f t="shared" si="13"/>
        <v>1</v>
      </c>
      <c r="N104" s="6" t="str">
        <f t="shared" si="14"/>
        <v>Ļoti zems</v>
      </c>
      <c r="O104" s="21">
        <f t="shared" si="11"/>
        <v>0.8</v>
      </c>
      <c r="P104" s="8"/>
    </row>
    <row r="105" spans="1:16" x14ac:dyDescent="0.3">
      <c r="A105" s="8"/>
      <c r="B105" s="3">
        <v>45922</v>
      </c>
      <c r="C105" s="3"/>
      <c r="D105" s="2"/>
      <c r="E105" s="2"/>
      <c r="F105" s="2"/>
      <c r="G105" s="2"/>
      <c r="H105" s="2"/>
      <c r="I105" s="2"/>
      <c r="J105" s="2"/>
      <c r="K105" s="16">
        <f t="shared" si="12"/>
        <v>0</v>
      </c>
      <c r="L105" s="2"/>
      <c r="M105" s="6">
        <f t="shared" si="13"/>
        <v>1</v>
      </c>
      <c r="N105" s="6" t="str">
        <f t="shared" si="14"/>
        <v>Ļoti zems</v>
      </c>
      <c r="O105" s="21">
        <f t="shared" si="11"/>
        <v>0.5</v>
      </c>
      <c r="P105" s="8"/>
    </row>
    <row r="106" spans="1:16" x14ac:dyDescent="0.3">
      <c r="A106" s="30" t="s">
        <v>159</v>
      </c>
      <c r="B106" s="27">
        <v>45923</v>
      </c>
      <c r="C106" s="27" t="s">
        <v>118</v>
      </c>
      <c r="D106" s="2">
        <v>1021</v>
      </c>
      <c r="E106" s="2">
        <v>-3</v>
      </c>
      <c r="F106" s="2">
        <v>3100</v>
      </c>
      <c r="G106" s="2">
        <v>2</v>
      </c>
      <c r="H106" s="2" t="s">
        <v>68</v>
      </c>
      <c r="I106" s="2">
        <v>14</v>
      </c>
      <c r="J106" s="2" t="s">
        <v>64</v>
      </c>
      <c r="K106" s="16">
        <f t="shared" si="12"/>
        <v>15.146551798141807</v>
      </c>
      <c r="L106" s="2">
        <v>55</v>
      </c>
      <c r="M106" s="6">
        <f t="shared" si="13"/>
        <v>5</v>
      </c>
      <c r="N106" s="6" t="str">
        <f t="shared" si="14"/>
        <v>Mērens-augsts</v>
      </c>
      <c r="O106" s="21">
        <f t="shared" si="11"/>
        <v>3.5</v>
      </c>
      <c r="P106" s="8"/>
    </row>
    <row r="107" spans="1:16" x14ac:dyDescent="0.3">
      <c r="A107" s="26" t="s">
        <v>163</v>
      </c>
      <c r="B107" s="27">
        <v>45924</v>
      </c>
      <c r="C107" s="27" t="s">
        <v>108</v>
      </c>
      <c r="D107" s="28">
        <v>1211</v>
      </c>
      <c r="E107" s="2">
        <v>-3</v>
      </c>
      <c r="F107" s="28">
        <v>3000</v>
      </c>
      <c r="G107" s="28">
        <v>1</v>
      </c>
      <c r="H107" s="28" t="s">
        <v>62</v>
      </c>
      <c r="I107" s="28">
        <v>16</v>
      </c>
      <c r="J107" s="28" t="s">
        <v>63</v>
      </c>
      <c r="K107" s="29">
        <f t="shared" si="12"/>
        <v>16.547214377113974</v>
      </c>
      <c r="L107" s="28">
        <v>50</v>
      </c>
      <c r="M107" s="6">
        <f t="shared" si="13"/>
        <v>4</v>
      </c>
      <c r="N107" s="6" t="str">
        <f t="shared" si="14"/>
        <v>Zems-mērens</v>
      </c>
      <c r="O107" s="21">
        <f t="shared" si="11"/>
        <v>0.9</v>
      </c>
      <c r="P107" s="8"/>
    </row>
    <row r="108" spans="1:16" x14ac:dyDescent="0.3">
      <c r="A108" s="26" t="s">
        <v>160</v>
      </c>
      <c r="B108" s="27">
        <v>45925</v>
      </c>
      <c r="C108" s="27" t="s">
        <v>118</v>
      </c>
      <c r="D108" s="28">
        <v>1325</v>
      </c>
      <c r="E108" s="28">
        <v>-5</v>
      </c>
      <c r="F108" s="2">
        <v>3400</v>
      </c>
      <c r="G108" s="2">
        <v>5</v>
      </c>
      <c r="H108" s="2" t="s">
        <v>61</v>
      </c>
      <c r="I108" s="2">
        <v>24</v>
      </c>
      <c r="J108" s="2" t="s">
        <v>67</v>
      </c>
      <c r="K108" s="16">
        <f t="shared" si="12"/>
        <v>26.964370515853975</v>
      </c>
      <c r="L108" s="2">
        <v>57</v>
      </c>
      <c r="M108" s="6">
        <f t="shared" si="13"/>
        <v>7</v>
      </c>
      <c r="N108" s="6" t="str">
        <f t="shared" si="14"/>
        <v>Ļoti augsts</v>
      </c>
      <c r="O108" s="21">
        <f t="shared" si="11"/>
        <v>4</v>
      </c>
      <c r="P108" s="8"/>
    </row>
    <row r="109" spans="1:16" x14ac:dyDescent="0.3">
      <c r="A109" s="26" t="s">
        <v>162</v>
      </c>
      <c r="B109" s="27">
        <v>45926</v>
      </c>
      <c r="C109" s="27" t="s">
        <v>108</v>
      </c>
      <c r="D109" s="28">
        <v>1073</v>
      </c>
      <c r="E109" s="28">
        <v>-2</v>
      </c>
      <c r="F109" s="28">
        <v>4400</v>
      </c>
      <c r="G109" s="28">
        <v>2</v>
      </c>
      <c r="H109" s="28" t="s">
        <v>65</v>
      </c>
      <c r="I109" s="28">
        <v>13</v>
      </c>
      <c r="J109" s="28" t="s">
        <v>66</v>
      </c>
      <c r="K109" s="29">
        <f t="shared" si="12"/>
        <v>11.009243051756936</v>
      </c>
      <c r="L109" s="28">
        <v>56</v>
      </c>
      <c r="M109" s="6">
        <f t="shared" si="13"/>
        <v>5</v>
      </c>
      <c r="N109" s="6" t="str">
        <f t="shared" si="14"/>
        <v>Mērens-augsts</v>
      </c>
      <c r="O109" s="21">
        <f t="shared" si="11"/>
        <v>3.1</v>
      </c>
      <c r="P109" s="8"/>
    </row>
    <row r="110" spans="1:16" x14ac:dyDescent="0.3">
      <c r="A110" s="30" t="s">
        <v>161</v>
      </c>
      <c r="B110" s="3">
        <v>45927</v>
      </c>
      <c r="C110" s="3" t="s">
        <v>118</v>
      </c>
      <c r="D110" s="2">
        <v>1014</v>
      </c>
      <c r="E110" s="2">
        <v>-5</v>
      </c>
      <c r="F110" s="2">
        <v>3200</v>
      </c>
      <c r="G110" s="2">
        <v>2</v>
      </c>
      <c r="H110" s="2" t="s">
        <v>66</v>
      </c>
      <c r="I110" s="2">
        <v>10</v>
      </c>
      <c r="J110" s="2" t="s">
        <v>61</v>
      </c>
      <c r="K110" s="16">
        <f t="shared" si="12"/>
        <v>11.180915863770249</v>
      </c>
      <c r="L110" s="2">
        <v>54</v>
      </c>
      <c r="M110" s="6">
        <f t="shared" si="13"/>
        <v>5</v>
      </c>
      <c r="N110" s="6" t="str">
        <f t="shared" si="14"/>
        <v>Mērens-augsts</v>
      </c>
      <c r="O110" s="21">
        <f t="shared" si="11"/>
        <v>0.8</v>
      </c>
      <c r="P110" s="8"/>
    </row>
    <row r="111" spans="1:16" x14ac:dyDescent="0.3">
      <c r="A111" s="8"/>
      <c r="B111" s="3">
        <v>45928</v>
      </c>
      <c r="C111" s="27"/>
      <c r="D111" s="28"/>
      <c r="E111" s="28"/>
      <c r="F111" s="28"/>
      <c r="G111" s="28"/>
      <c r="H111" s="28"/>
      <c r="I111" s="28"/>
      <c r="J111" s="28"/>
      <c r="K111" s="16">
        <f t="shared" si="12"/>
        <v>0</v>
      </c>
      <c r="L111" s="2"/>
      <c r="M111" s="6">
        <f t="shared" si="13"/>
        <v>1</v>
      </c>
      <c r="N111" s="6" t="str">
        <f t="shared" si="14"/>
        <v>Ļoti zems</v>
      </c>
      <c r="O111" s="21">
        <f t="shared" si="11"/>
        <v>0.5</v>
      </c>
      <c r="P111" s="8"/>
    </row>
    <row r="112" spans="1:16" x14ac:dyDescent="0.3">
      <c r="A112" s="8"/>
      <c r="B112" s="3">
        <v>45929</v>
      </c>
      <c r="C112" s="3"/>
      <c r="D112" s="2"/>
      <c r="E112" s="2"/>
      <c r="F112" s="2"/>
      <c r="G112" s="2"/>
      <c r="H112" s="2"/>
      <c r="I112" s="2"/>
      <c r="J112" s="2"/>
      <c r="K112" s="16">
        <f t="shared" si="12"/>
        <v>0</v>
      </c>
      <c r="L112" s="2"/>
      <c r="M112" s="6">
        <f t="shared" si="13"/>
        <v>1</v>
      </c>
      <c r="N112" s="6" t="str">
        <f t="shared" si="14"/>
        <v>Ļoti zems</v>
      </c>
      <c r="O112" s="21">
        <f t="shared" si="11"/>
        <v>0.5</v>
      </c>
      <c r="P112" s="8"/>
    </row>
    <row r="113" spans="1:16" x14ac:dyDescent="0.3">
      <c r="A113" s="8"/>
      <c r="B113" s="3">
        <v>45930</v>
      </c>
      <c r="C113" s="3"/>
      <c r="D113" s="2"/>
      <c r="E113" s="2"/>
      <c r="F113" s="2"/>
      <c r="G113" s="2"/>
      <c r="H113" s="2"/>
      <c r="I113" s="2"/>
      <c r="J113" s="2"/>
      <c r="K113" s="2">
        <f t="shared" si="12"/>
        <v>0</v>
      </c>
      <c r="L113" s="2"/>
      <c r="M113" s="6">
        <f t="shared" si="13"/>
        <v>1</v>
      </c>
      <c r="N113" s="6" t="str">
        <f t="shared" si="14"/>
        <v>Ļoti zems</v>
      </c>
      <c r="O113" s="21">
        <f t="shared" si="11"/>
        <v>0.5</v>
      </c>
      <c r="P113" s="8"/>
    </row>
    <row r="114" spans="1:16" x14ac:dyDescent="0.3">
      <c r="A114" s="8"/>
      <c r="B114" s="3">
        <v>45931</v>
      </c>
      <c r="C114" s="8"/>
      <c r="D114" s="8"/>
      <c r="E114" s="8"/>
      <c r="F114" s="8"/>
      <c r="G114" s="8"/>
      <c r="H114" s="8"/>
      <c r="I114" s="8"/>
      <c r="J114" s="8"/>
      <c r="K114" s="2">
        <f t="shared" si="12"/>
        <v>0</v>
      </c>
      <c r="L114" s="8"/>
      <c r="M114" s="6">
        <f t="shared" si="13"/>
        <v>1</v>
      </c>
      <c r="N114" s="6" t="str">
        <f t="shared" si="14"/>
        <v>Ļoti zems</v>
      </c>
      <c r="O114" s="21">
        <f t="shared" si="11"/>
        <v>0.5</v>
      </c>
      <c r="P114" s="8"/>
    </row>
  </sheetData>
  <autoFilter ref="A1:P113" xr:uid="{33E75AA6-87F3-4E71-97C2-D88D3DC11441}">
    <sortState xmlns:xlrd2="http://schemas.microsoft.com/office/spreadsheetml/2017/richdata2" ref="A2:P113">
      <sortCondition ref="B1:B113"/>
    </sortState>
  </autoFilter>
  <conditionalFormatting sqref="M2:M114">
    <cfRule type="expression" dxfId="17" priority="6">
      <formula>M2:M123&gt;=7</formula>
    </cfRule>
    <cfRule type="expression" dxfId="16" priority="7">
      <formula>M2:M123&gt;=5</formula>
    </cfRule>
    <cfRule type="expression" dxfId="15" priority="8">
      <formula>M2:M123&gt;=3</formula>
    </cfRule>
    <cfRule type="expression" dxfId="14" priority="9">
      <formula>M2:M123&lt;3</formula>
    </cfRule>
  </conditionalFormatting>
  <conditionalFormatting sqref="N2:N114">
    <cfRule type="expression" dxfId="13" priority="1">
      <formula>N2:N123="Ļoti augsts"</formula>
    </cfRule>
    <cfRule type="expression" dxfId="12" priority="3">
      <formula>N2:N123="Mērens-augsts"</formula>
    </cfRule>
    <cfRule type="expression" dxfId="11" priority="4">
      <formula>N2:N123="Zems-mērens"</formula>
    </cfRule>
    <cfRule type="expression" dxfId="10" priority="5">
      <formula>N2:N123="Ļoti zems"</formula>
    </cfRule>
  </conditionalFormatting>
  <conditionalFormatting sqref="N16:O16">
    <cfRule type="expression" dxfId="9" priority="2">
      <formula>$N$2:$N$113="Ļoti augsts"</formula>
    </cfRule>
  </conditionalFormatting>
  <hyperlinks>
    <hyperlink ref="P2" r:id="rId1" xr:uid="{0F4738E6-12CD-4D22-98A8-4A9F577639B7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15F65-79D8-4B56-B3AB-A6EFC96BF468}">
  <dimension ref="A1:J113"/>
  <sheetViews>
    <sheetView topLeftCell="A4" workbookViewId="0">
      <selection activeCell="A54" sqref="A54"/>
    </sheetView>
  </sheetViews>
  <sheetFormatPr defaultRowHeight="14.4" x14ac:dyDescent="0.3"/>
  <cols>
    <col min="1" max="1" width="27" customWidth="1"/>
    <col min="2" max="2" width="18.109375" customWidth="1"/>
    <col min="6" max="6" width="12.33203125" customWidth="1"/>
    <col min="7" max="7" width="11.21875" customWidth="1"/>
    <col min="8" max="8" width="13.44140625" customWidth="1"/>
    <col min="9" max="9" width="22.77734375" customWidth="1"/>
    <col min="10" max="10" width="33.77734375" customWidth="1"/>
  </cols>
  <sheetData>
    <row r="1" spans="1:10" ht="55.2" x14ac:dyDescent="0.3">
      <c r="A1" s="7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9" t="s">
        <v>12</v>
      </c>
    </row>
    <row r="2" spans="1:10" x14ac:dyDescent="0.3">
      <c r="A2" s="14" t="s">
        <v>37</v>
      </c>
      <c r="B2" s="13">
        <v>45819</v>
      </c>
      <c r="C2" s="2">
        <v>2530</v>
      </c>
      <c r="D2" s="2">
        <v>-8</v>
      </c>
      <c r="E2" s="2">
        <v>4400</v>
      </c>
      <c r="F2" s="2"/>
      <c r="G2" s="2">
        <v>38</v>
      </c>
      <c r="H2" s="6">
        <f t="shared" ref="H2:H56" si="0">SUM(IF(C2&gt;1000,2,0),IF(D2&lt;=-4,2,0),IF(E2&lt;=3000,1,0),IF(F2&gt;10,1,0),IF(G2&gt;=55,2,0))</f>
        <v>4</v>
      </c>
      <c r="I2" s="6" t="str">
        <f t="shared" ref="I2:I56" si="1">IF(H2&gt;=7,"Ļoti augsts",IF(H2&gt;=5,"Mērens-augsts",IF(H2&gt;=3,"Zems-mērens","Ļoti zems")))</f>
        <v>Zems-mērens</v>
      </c>
      <c r="J2" s="11" t="s">
        <v>40</v>
      </c>
    </row>
    <row r="3" spans="1:10" x14ac:dyDescent="0.3">
      <c r="A3" s="10" t="s">
        <v>38</v>
      </c>
      <c r="B3" s="13">
        <v>45820</v>
      </c>
      <c r="C3" s="2">
        <v>1955</v>
      </c>
      <c r="D3" s="2">
        <v>-8</v>
      </c>
      <c r="E3" s="2">
        <v>4400</v>
      </c>
      <c r="F3" s="1"/>
      <c r="G3" s="2">
        <v>29</v>
      </c>
      <c r="H3" s="6">
        <f t="shared" si="0"/>
        <v>4</v>
      </c>
      <c r="I3" s="6" t="str">
        <f t="shared" si="1"/>
        <v>Zems-mērens</v>
      </c>
      <c r="J3" s="8"/>
    </row>
    <row r="4" spans="1:10" x14ac:dyDescent="0.3">
      <c r="A4" s="8" t="s">
        <v>39</v>
      </c>
      <c r="B4" s="13">
        <v>45821</v>
      </c>
      <c r="C4" s="2">
        <v>417</v>
      </c>
      <c r="D4" s="2">
        <v>-2</v>
      </c>
      <c r="E4" s="2">
        <v>3200</v>
      </c>
      <c r="F4" s="2"/>
      <c r="G4" s="2">
        <v>53</v>
      </c>
      <c r="H4" s="6">
        <f t="shared" si="0"/>
        <v>0</v>
      </c>
      <c r="I4" s="6" t="str">
        <f t="shared" si="1"/>
        <v>Ļoti zems</v>
      </c>
      <c r="J4" s="8"/>
    </row>
    <row r="5" spans="1:10" x14ac:dyDescent="0.3">
      <c r="A5" s="10"/>
      <c r="B5" s="13">
        <v>45822</v>
      </c>
      <c r="C5" s="2"/>
      <c r="D5" s="2"/>
      <c r="E5" s="2"/>
      <c r="F5" s="2"/>
      <c r="G5" s="2"/>
      <c r="H5" s="6">
        <f t="shared" si="0"/>
        <v>1</v>
      </c>
      <c r="I5" s="6" t="str">
        <f t="shared" si="1"/>
        <v>Ļoti zems</v>
      </c>
      <c r="J5" s="8"/>
    </row>
    <row r="6" spans="1:10" x14ac:dyDescent="0.3">
      <c r="A6" s="8" t="s">
        <v>52</v>
      </c>
      <c r="B6" s="13">
        <v>45823</v>
      </c>
      <c r="C6" s="2">
        <v>2640</v>
      </c>
      <c r="D6" s="2">
        <v>-8</v>
      </c>
      <c r="E6" s="2">
        <v>4700</v>
      </c>
      <c r="F6" s="2"/>
      <c r="G6" s="2">
        <v>47</v>
      </c>
      <c r="H6" s="6">
        <f t="shared" si="0"/>
        <v>4</v>
      </c>
      <c r="I6" s="6" t="str">
        <f t="shared" si="1"/>
        <v>Zems-mērens</v>
      </c>
      <c r="J6" s="8"/>
    </row>
    <row r="7" spans="1:10" x14ac:dyDescent="0.3">
      <c r="A7" s="10" t="s">
        <v>51</v>
      </c>
      <c r="B7" s="13">
        <v>45824</v>
      </c>
      <c r="C7" s="2">
        <v>3704</v>
      </c>
      <c r="D7" s="2">
        <v>-8</v>
      </c>
      <c r="E7" s="2">
        <v>4400</v>
      </c>
      <c r="F7" s="2"/>
      <c r="G7" s="2">
        <v>0</v>
      </c>
      <c r="H7" s="6">
        <f t="shared" si="0"/>
        <v>4</v>
      </c>
      <c r="I7" s="6" t="str">
        <f t="shared" si="1"/>
        <v>Zems-mērens</v>
      </c>
      <c r="J7" s="8"/>
    </row>
    <row r="8" spans="1:10" x14ac:dyDescent="0.3">
      <c r="A8" s="15" t="s">
        <v>50</v>
      </c>
      <c r="B8" s="13">
        <v>45825</v>
      </c>
      <c r="C8" s="2">
        <v>956</v>
      </c>
      <c r="D8" s="2">
        <v>-5</v>
      </c>
      <c r="E8" s="2">
        <v>4500</v>
      </c>
      <c r="F8" s="2"/>
      <c r="G8" s="2">
        <v>54</v>
      </c>
      <c r="H8" s="6">
        <f t="shared" si="0"/>
        <v>2</v>
      </c>
      <c r="I8" s="6" t="str">
        <f t="shared" si="1"/>
        <v>Ļoti zems</v>
      </c>
      <c r="J8" s="8"/>
    </row>
    <row r="9" spans="1:10" x14ac:dyDescent="0.3">
      <c r="A9" s="8" t="s">
        <v>49</v>
      </c>
      <c r="B9" s="13">
        <v>45826</v>
      </c>
      <c r="C9" s="2">
        <v>2252</v>
      </c>
      <c r="D9" s="2">
        <v>-7</v>
      </c>
      <c r="E9" s="2">
        <v>4500</v>
      </c>
      <c r="F9" s="2"/>
      <c r="G9" s="2">
        <v>60</v>
      </c>
      <c r="H9" s="6">
        <f>SUM(IF(C9&gt;1000,2,0),IF(D9&lt;=-4,2,0),IF(E9&lt;=3000,1,0),IF(F9&gt;10,1,0),IF(G9&gt;=55,2,0))</f>
        <v>6</v>
      </c>
      <c r="I9" s="6" t="str">
        <f t="shared" si="1"/>
        <v>Mērens-augsts</v>
      </c>
      <c r="J9" s="8"/>
    </row>
    <row r="10" spans="1:10" x14ac:dyDescent="0.3">
      <c r="A10" s="8" t="s">
        <v>9</v>
      </c>
      <c r="B10" s="13">
        <v>45827</v>
      </c>
      <c r="C10" s="2">
        <v>1428</v>
      </c>
      <c r="D10" s="2">
        <v>-3</v>
      </c>
      <c r="E10" s="2">
        <v>4300</v>
      </c>
      <c r="F10" s="2"/>
      <c r="G10" s="2">
        <v>47</v>
      </c>
      <c r="H10" s="6">
        <f t="shared" si="0"/>
        <v>2</v>
      </c>
      <c r="I10" s="6" t="str">
        <f t="shared" si="1"/>
        <v>Ļoti zems</v>
      </c>
      <c r="J10" s="8"/>
    </row>
    <row r="11" spans="1:10" x14ac:dyDescent="0.3">
      <c r="A11" s="8" t="s">
        <v>56</v>
      </c>
      <c r="B11" s="13">
        <v>45828</v>
      </c>
      <c r="C11" s="2">
        <v>1467</v>
      </c>
      <c r="D11" s="2">
        <v>-5</v>
      </c>
      <c r="E11" s="2">
        <v>4600</v>
      </c>
      <c r="F11" s="2"/>
      <c r="G11" s="2">
        <v>58</v>
      </c>
      <c r="H11" s="6">
        <f t="shared" si="0"/>
        <v>6</v>
      </c>
      <c r="I11" s="6" t="str">
        <f t="shared" si="1"/>
        <v>Mērens-augsts</v>
      </c>
      <c r="J11" s="8"/>
    </row>
    <row r="12" spans="1:10" x14ac:dyDescent="0.3">
      <c r="A12" s="8" t="s">
        <v>48</v>
      </c>
      <c r="B12" s="13">
        <v>45829</v>
      </c>
      <c r="C12" s="2">
        <v>1808</v>
      </c>
      <c r="D12" s="2">
        <v>-5</v>
      </c>
      <c r="E12" s="2">
        <v>4800</v>
      </c>
      <c r="F12" s="2"/>
      <c r="G12" s="2">
        <v>55</v>
      </c>
      <c r="H12" s="6">
        <f t="shared" si="0"/>
        <v>6</v>
      </c>
      <c r="I12" s="6" t="str">
        <f t="shared" si="1"/>
        <v>Mērens-augsts</v>
      </c>
      <c r="J12" s="8"/>
    </row>
    <row r="13" spans="1:10" x14ac:dyDescent="0.3">
      <c r="A13" s="8" t="s">
        <v>10</v>
      </c>
      <c r="B13" s="13">
        <v>45830</v>
      </c>
      <c r="C13" s="2">
        <v>178</v>
      </c>
      <c r="D13" s="2">
        <v>-2</v>
      </c>
      <c r="E13" s="2">
        <v>4900</v>
      </c>
      <c r="F13" s="2"/>
      <c r="G13" s="2">
        <v>56</v>
      </c>
      <c r="H13" s="6">
        <f t="shared" si="0"/>
        <v>2</v>
      </c>
      <c r="I13" s="6" t="str">
        <f t="shared" si="1"/>
        <v>Ļoti zems</v>
      </c>
      <c r="J13" s="8"/>
    </row>
    <row r="14" spans="1:10" x14ac:dyDescent="0.3">
      <c r="A14" s="8" t="s">
        <v>14</v>
      </c>
      <c r="B14" s="13">
        <v>45831</v>
      </c>
      <c r="C14" s="2">
        <v>2273</v>
      </c>
      <c r="D14" s="2">
        <v>-9</v>
      </c>
      <c r="E14" s="2">
        <v>4900</v>
      </c>
      <c r="F14" s="2"/>
      <c r="G14" s="2">
        <v>50</v>
      </c>
      <c r="H14" s="6">
        <f t="shared" si="0"/>
        <v>4</v>
      </c>
      <c r="I14" s="6" t="str">
        <f t="shared" si="1"/>
        <v>Zems-mērens</v>
      </c>
      <c r="J14" s="8"/>
    </row>
    <row r="15" spans="1:10" x14ac:dyDescent="0.3">
      <c r="A15" s="8" t="s">
        <v>11</v>
      </c>
      <c r="B15" s="13">
        <v>45832</v>
      </c>
      <c r="C15" s="2">
        <v>1147</v>
      </c>
      <c r="D15" s="2">
        <v>-4</v>
      </c>
      <c r="E15" s="2">
        <v>4300</v>
      </c>
      <c r="F15" s="2"/>
      <c r="G15" s="2">
        <v>56</v>
      </c>
      <c r="H15" s="6">
        <f t="shared" si="0"/>
        <v>6</v>
      </c>
      <c r="I15" s="6" t="str">
        <f t="shared" si="1"/>
        <v>Mērens-augsts</v>
      </c>
      <c r="J15" s="8"/>
    </row>
    <row r="16" spans="1:10" x14ac:dyDescent="0.3">
      <c r="A16" s="8" t="s">
        <v>13</v>
      </c>
      <c r="B16" s="13">
        <v>45833</v>
      </c>
      <c r="C16" s="2">
        <v>1891</v>
      </c>
      <c r="D16" s="2">
        <v>-5</v>
      </c>
      <c r="E16" s="2">
        <v>4400</v>
      </c>
      <c r="F16" s="2"/>
      <c r="G16" s="2">
        <v>65</v>
      </c>
      <c r="H16" s="6">
        <f t="shared" si="0"/>
        <v>6</v>
      </c>
      <c r="I16" s="6" t="str">
        <f t="shared" si="1"/>
        <v>Mērens-augsts</v>
      </c>
      <c r="J16" s="8"/>
    </row>
    <row r="17" spans="1:10" x14ac:dyDescent="0.3">
      <c r="A17" s="8" t="s">
        <v>15</v>
      </c>
      <c r="B17" s="13">
        <v>45834</v>
      </c>
      <c r="C17" s="2">
        <v>1266</v>
      </c>
      <c r="D17" s="2">
        <v>-6</v>
      </c>
      <c r="E17" s="2">
        <v>4500</v>
      </c>
      <c r="F17" s="2"/>
      <c r="G17" s="2">
        <v>55</v>
      </c>
      <c r="H17" s="6">
        <f t="shared" si="0"/>
        <v>6</v>
      </c>
      <c r="I17" s="6" t="str">
        <f t="shared" si="1"/>
        <v>Mērens-augsts</v>
      </c>
      <c r="J17" s="8"/>
    </row>
    <row r="18" spans="1:10" x14ac:dyDescent="0.3">
      <c r="A18" s="8" t="s">
        <v>16</v>
      </c>
      <c r="B18" s="3">
        <v>45835</v>
      </c>
      <c r="C18" s="2">
        <v>1850</v>
      </c>
      <c r="D18" s="2">
        <v>-5</v>
      </c>
      <c r="E18" s="2">
        <v>4600</v>
      </c>
      <c r="F18" s="2"/>
      <c r="G18" s="2">
        <v>65</v>
      </c>
      <c r="H18" s="6">
        <f t="shared" si="0"/>
        <v>6</v>
      </c>
      <c r="I18" s="6" t="str">
        <f t="shared" si="1"/>
        <v>Mērens-augsts</v>
      </c>
      <c r="J18" s="8"/>
    </row>
    <row r="19" spans="1:10" x14ac:dyDescent="0.3">
      <c r="A19" s="8" t="s">
        <v>17</v>
      </c>
      <c r="B19" s="3">
        <v>45836</v>
      </c>
      <c r="C19" s="2">
        <v>371</v>
      </c>
      <c r="D19" s="2">
        <v>-3</v>
      </c>
      <c r="E19" s="2">
        <v>3200</v>
      </c>
      <c r="F19" s="2"/>
      <c r="G19" s="2">
        <v>57</v>
      </c>
      <c r="H19" s="6">
        <f t="shared" si="0"/>
        <v>2</v>
      </c>
      <c r="I19" s="6" t="str">
        <f t="shared" si="1"/>
        <v>Ļoti zems</v>
      </c>
      <c r="J19" s="8"/>
    </row>
    <row r="20" spans="1:10" x14ac:dyDescent="0.3">
      <c r="A20" s="8" t="s">
        <v>18</v>
      </c>
      <c r="B20" s="3">
        <v>45837</v>
      </c>
      <c r="C20" s="2">
        <v>2018</v>
      </c>
      <c r="D20" s="2">
        <v>-6</v>
      </c>
      <c r="E20" s="2">
        <v>4600</v>
      </c>
      <c r="F20" s="2"/>
      <c r="G20" s="2">
        <v>56</v>
      </c>
      <c r="H20" s="6">
        <f t="shared" si="0"/>
        <v>6</v>
      </c>
      <c r="I20" s="6" t="str">
        <f t="shared" si="1"/>
        <v>Mērens-augsts</v>
      </c>
      <c r="J20" s="8"/>
    </row>
    <row r="21" spans="1:10" x14ac:dyDescent="0.3">
      <c r="A21" s="8" t="s">
        <v>19</v>
      </c>
      <c r="B21" s="3">
        <v>45838</v>
      </c>
      <c r="C21" s="2">
        <v>2191</v>
      </c>
      <c r="D21" s="2">
        <v>-6</v>
      </c>
      <c r="E21" s="2">
        <v>4900</v>
      </c>
      <c r="F21" s="2"/>
      <c r="G21" s="2">
        <v>56</v>
      </c>
      <c r="H21" s="6">
        <f t="shared" si="0"/>
        <v>6</v>
      </c>
      <c r="I21" s="6" t="str">
        <f t="shared" si="1"/>
        <v>Mērens-augsts</v>
      </c>
      <c r="J21" s="8"/>
    </row>
    <row r="22" spans="1:10" x14ac:dyDescent="0.3">
      <c r="A22" s="8" t="s">
        <v>20</v>
      </c>
      <c r="B22" s="3">
        <v>45839</v>
      </c>
      <c r="C22" s="2">
        <v>2318</v>
      </c>
      <c r="D22" s="2">
        <v>-3</v>
      </c>
      <c r="E22" s="2">
        <v>4600</v>
      </c>
      <c r="F22" s="2"/>
      <c r="G22" s="2">
        <v>53</v>
      </c>
      <c r="H22" s="6">
        <f t="shared" si="0"/>
        <v>2</v>
      </c>
      <c r="I22" s="6" t="str">
        <f t="shared" si="1"/>
        <v>Ļoti zems</v>
      </c>
      <c r="J22" s="8"/>
    </row>
    <row r="23" spans="1:10" x14ac:dyDescent="0.3">
      <c r="A23" s="8" t="s">
        <v>21</v>
      </c>
      <c r="B23" s="3">
        <v>45840</v>
      </c>
      <c r="C23" s="2">
        <v>1690</v>
      </c>
      <c r="D23" s="2">
        <v>-6</v>
      </c>
      <c r="E23" s="2">
        <v>3900</v>
      </c>
      <c r="F23" s="2"/>
      <c r="G23" s="2">
        <v>55</v>
      </c>
      <c r="H23" s="6">
        <f t="shared" si="0"/>
        <v>6</v>
      </c>
      <c r="I23" s="6" t="str">
        <f t="shared" si="1"/>
        <v>Mērens-augsts</v>
      </c>
      <c r="J23" s="8"/>
    </row>
    <row r="24" spans="1:10" x14ac:dyDescent="0.3">
      <c r="A24" s="8" t="s">
        <v>22</v>
      </c>
      <c r="B24" s="3">
        <v>45841</v>
      </c>
      <c r="C24" s="2">
        <v>1387</v>
      </c>
      <c r="D24" s="2">
        <v>-3</v>
      </c>
      <c r="E24" s="2">
        <v>3900</v>
      </c>
      <c r="F24" s="2"/>
      <c r="G24" s="2">
        <v>51</v>
      </c>
      <c r="H24" s="6">
        <f t="shared" si="0"/>
        <v>2</v>
      </c>
      <c r="I24" s="6" t="str">
        <f t="shared" si="1"/>
        <v>Ļoti zems</v>
      </c>
      <c r="J24" s="8"/>
    </row>
    <row r="25" spans="1:10" x14ac:dyDescent="0.3">
      <c r="A25" s="8" t="s">
        <v>23</v>
      </c>
      <c r="B25" s="3">
        <v>45842</v>
      </c>
      <c r="C25" s="2">
        <v>1256</v>
      </c>
      <c r="D25" s="2">
        <v>-4</v>
      </c>
      <c r="E25" s="2">
        <v>5200</v>
      </c>
      <c r="F25" s="2"/>
      <c r="G25" s="2">
        <v>56</v>
      </c>
      <c r="H25" s="6">
        <f t="shared" si="0"/>
        <v>6</v>
      </c>
      <c r="I25" s="6" t="str">
        <f t="shared" si="1"/>
        <v>Mērens-augsts</v>
      </c>
      <c r="J25" s="8"/>
    </row>
    <row r="26" spans="1:10" x14ac:dyDescent="0.3">
      <c r="A26" s="8" t="s">
        <v>24</v>
      </c>
      <c r="B26" s="3">
        <v>45843</v>
      </c>
      <c r="C26" s="2">
        <v>1996</v>
      </c>
      <c r="D26" s="2">
        <v>-4</v>
      </c>
      <c r="E26" s="2">
        <v>5100</v>
      </c>
      <c r="F26" s="2"/>
      <c r="G26" s="2">
        <v>59</v>
      </c>
      <c r="H26" s="6">
        <f t="shared" si="0"/>
        <v>6</v>
      </c>
      <c r="I26" s="6" t="str">
        <f t="shared" si="1"/>
        <v>Mērens-augsts</v>
      </c>
      <c r="J26" s="8"/>
    </row>
    <row r="27" spans="1:10" x14ac:dyDescent="0.3">
      <c r="A27" s="8" t="s">
        <v>25</v>
      </c>
      <c r="B27" s="3">
        <v>45844</v>
      </c>
      <c r="C27" s="2">
        <v>2300</v>
      </c>
      <c r="D27" s="2">
        <v>-5</v>
      </c>
      <c r="E27" s="2">
        <v>4800</v>
      </c>
      <c r="F27" s="2"/>
      <c r="G27" s="2">
        <v>48</v>
      </c>
      <c r="H27" s="6">
        <f t="shared" si="0"/>
        <v>4</v>
      </c>
      <c r="I27" s="6" t="str">
        <f t="shared" si="1"/>
        <v>Zems-mērens</v>
      </c>
      <c r="J27" s="8"/>
    </row>
    <row r="28" spans="1:10" x14ac:dyDescent="0.3">
      <c r="A28" s="8" t="s">
        <v>26</v>
      </c>
      <c r="B28" s="3">
        <v>45845</v>
      </c>
      <c r="C28" s="2">
        <v>439</v>
      </c>
      <c r="D28" s="2">
        <v>-4</v>
      </c>
      <c r="E28" s="2">
        <v>5200</v>
      </c>
      <c r="F28" s="2"/>
      <c r="G28" s="2">
        <v>46</v>
      </c>
      <c r="H28" s="6">
        <f t="shared" si="0"/>
        <v>2</v>
      </c>
      <c r="I28" s="6" t="str">
        <f t="shared" si="1"/>
        <v>Ļoti zems</v>
      </c>
      <c r="J28" s="8"/>
    </row>
    <row r="29" spans="1:10" x14ac:dyDescent="0.3">
      <c r="A29" s="8" t="s">
        <v>27</v>
      </c>
      <c r="B29" s="3">
        <v>45846</v>
      </c>
      <c r="C29" s="2">
        <v>2590</v>
      </c>
      <c r="D29" s="2">
        <v>-7</v>
      </c>
      <c r="E29" s="2">
        <v>4700</v>
      </c>
      <c r="F29" s="2"/>
      <c r="G29" s="2">
        <v>57</v>
      </c>
      <c r="H29" s="6">
        <f t="shared" si="0"/>
        <v>6</v>
      </c>
      <c r="I29" s="6" t="str">
        <f t="shared" si="1"/>
        <v>Mērens-augsts</v>
      </c>
      <c r="J29" s="8"/>
    </row>
    <row r="30" spans="1:10" x14ac:dyDescent="0.3">
      <c r="A30" s="8" t="s">
        <v>43</v>
      </c>
      <c r="B30" s="3">
        <v>45847</v>
      </c>
      <c r="C30" s="2">
        <v>1766</v>
      </c>
      <c r="D30" s="2">
        <v>-6</v>
      </c>
      <c r="E30" s="2">
        <v>4800</v>
      </c>
      <c r="F30" s="2"/>
      <c r="G30" s="2">
        <v>50</v>
      </c>
      <c r="H30" s="6">
        <f t="shared" si="0"/>
        <v>4</v>
      </c>
      <c r="I30" s="6" t="str">
        <f t="shared" si="1"/>
        <v>Zems-mērens</v>
      </c>
      <c r="J30" s="8"/>
    </row>
    <row r="31" spans="1:10" x14ac:dyDescent="0.3">
      <c r="A31" s="8" t="s">
        <v>28</v>
      </c>
      <c r="B31" s="3">
        <v>45848</v>
      </c>
      <c r="C31" s="2">
        <v>1821</v>
      </c>
      <c r="D31" s="2">
        <v>-6</v>
      </c>
      <c r="E31" s="2">
        <v>3900</v>
      </c>
      <c r="F31" s="2"/>
      <c r="G31" s="2">
        <v>49</v>
      </c>
      <c r="H31" s="6">
        <f t="shared" si="0"/>
        <v>4</v>
      </c>
      <c r="I31" s="6" t="str">
        <f t="shared" si="1"/>
        <v>Zems-mērens</v>
      </c>
      <c r="J31" s="8"/>
    </row>
    <row r="32" spans="1:10" x14ac:dyDescent="0.3">
      <c r="A32" s="8" t="s">
        <v>29</v>
      </c>
      <c r="B32" s="3">
        <v>45849</v>
      </c>
      <c r="C32" s="2">
        <v>2395</v>
      </c>
      <c r="D32" s="2">
        <v>-7</v>
      </c>
      <c r="E32" s="2">
        <v>3800</v>
      </c>
      <c r="F32" s="2"/>
      <c r="G32" s="2">
        <v>59</v>
      </c>
      <c r="H32" s="6">
        <f t="shared" si="0"/>
        <v>6</v>
      </c>
      <c r="I32" s="6" t="str">
        <f t="shared" si="1"/>
        <v>Mērens-augsts</v>
      </c>
      <c r="J32" s="8"/>
    </row>
    <row r="33" spans="1:10" x14ac:dyDescent="0.3">
      <c r="A33" s="8" t="s">
        <v>30</v>
      </c>
      <c r="B33" s="3">
        <v>45850</v>
      </c>
      <c r="C33" s="2">
        <v>1085</v>
      </c>
      <c r="D33" s="2">
        <v>-2</v>
      </c>
      <c r="E33" s="2">
        <v>3500</v>
      </c>
      <c r="F33" s="2"/>
      <c r="G33" s="2">
        <v>50</v>
      </c>
      <c r="H33" s="6">
        <f t="shared" si="0"/>
        <v>2</v>
      </c>
      <c r="I33" s="6" t="str">
        <f t="shared" si="1"/>
        <v>Ļoti zems</v>
      </c>
      <c r="J33" s="8"/>
    </row>
    <row r="34" spans="1:10" x14ac:dyDescent="0.3">
      <c r="A34" s="8" t="s">
        <v>31</v>
      </c>
      <c r="B34" s="3">
        <v>45851</v>
      </c>
      <c r="C34" s="2">
        <v>2046</v>
      </c>
      <c r="D34" s="2">
        <v>-5</v>
      </c>
      <c r="E34" s="2">
        <v>4800</v>
      </c>
      <c r="F34" s="2"/>
      <c r="G34" s="2">
        <v>58</v>
      </c>
      <c r="H34" s="6">
        <f t="shared" si="0"/>
        <v>6</v>
      </c>
      <c r="I34" s="6" t="str">
        <f t="shared" si="1"/>
        <v>Mērens-augsts</v>
      </c>
      <c r="J34" s="8"/>
    </row>
    <row r="35" spans="1:10" x14ac:dyDescent="0.3">
      <c r="A35" s="8" t="s">
        <v>32</v>
      </c>
      <c r="B35" s="3">
        <v>45852</v>
      </c>
      <c r="C35" s="2">
        <v>2413</v>
      </c>
      <c r="D35" s="2">
        <v>-4</v>
      </c>
      <c r="E35" s="2">
        <v>4300</v>
      </c>
      <c r="F35" s="2"/>
      <c r="G35" s="2">
        <v>56</v>
      </c>
      <c r="H35" s="6">
        <f t="shared" si="0"/>
        <v>6</v>
      </c>
      <c r="I35" s="6" t="str">
        <f t="shared" si="1"/>
        <v>Mērens-augsts</v>
      </c>
      <c r="J35" s="8"/>
    </row>
    <row r="36" spans="1:10" x14ac:dyDescent="0.3">
      <c r="A36" s="8" t="s">
        <v>33</v>
      </c>
      <c r="B36" s="3">
        <v>45853</v>
      </c>
      <c r="C36" s="2">
        <v>1972</v>
      </c>
      <c r="D36" s="2">
        <v>-5</v>
      </c>
      <c r="E36" s="2">
        <v>4900</v>
      </c>
      <c r="F36" s="2"/>
      <c r="G36" s="2">
        <v>57</v>
      </c>
      <c r="H36" s="6">
        <f t="shared" si="0"/>
        <v>6</v>
      </c>
      <c r="I36" s="6" t="str">
        <f t="shared" si="1"/>
        <v>Mērens-augsts</v>
      </c>
      <c r="J36" s="8"/>
    </row>
    <row r="37" spans="1:10" x14ac:dyDescent="0.3">
      <c r="A37" s="8" t="s">
        <v>34</v>
      </c>
      <c r="B37" s="3">
        <v>45854</v>
      </c>
      <c r="C37" s="2">
        <v>235</v>
      </c>
      <c r="D37" s="2">
        <v>-3</v>
      </c>
      <c r="E37" s="2">
        <v>3500</v>
      </c>
      <c r="F37" s="2"/>
      <c r="G37" s="2">
        <v>56</v>
      </c>
      <c r="H37" s="6">
        <f t="shared" si="0"/>
        <v>2</v>
      </c>
      <c r="I37" s="6" t="str">
        <f t="shared" si="1"/>
        <v>Ļoti zems</v>
      </c>
      <c r="J37" s="8"/>
    </row>
    <row r="38" spans="1:10" x14ac:dyDescent="0.3">
      <c r="A38" s="8" t="s">
        <v>35</v>
      </c>
      <c r="B38" s="3">
        <v>45855</v>
      </c>
      <c r="C38" s="2">
        <v>945</v>
      </c>
      <c r="D38" s="2">
        <v>-3</v>
      </c>
      <c r="E38" s="2">
        <v>4000</v>
      </c>
      <c r="F38" s="2"/>
      <c r="G38" s="2">
        <v>42</v>
      </c>
      <c r="H38" s="6">
        <f t="shared" si="0"/>
        <v>0</v>
      </c>
      <c r="I38" s="6" t="str">
        <f t="shared" si="1"/>
        <v>Ļoti zems</v>
      </c>
      <c r="J38" s="8"/>
    </row>
    <row r="39" spans="1:10" x14ac:dyDescent="0.3">
      <c r="A39" s="8" t="s">
        <v>36</v>
      </c>
      <c r="B39" s="3">
        <v>45856</v>
      </c>
      <c r="C39" s="2">
        <v>1747</v>
      </c>
      <c r="D39" s="2">
        <v>-6</v>
      </c>
      <c r="E39" s="2">
        <v>4500</v>
      </c>
      <c r="F39" s="2"/>
      <c r="G39" s="2">
        <v>57</v>
      </c>
      <c r="H39" s="6">
        <f>SUM(IF(C39&gt;1000,2,0),IF(D39&lt;=-4,2,0),IF(E39&lt;=3000,1,0),IF(F39&gt;10,1,0),IF(G39&gt;=55,2,0))</f>
        <v>6</v>
      </c>
      <c r="I39" s="6" t="str">
        <f t="shared" si="1"/>
        <v>Mērens-augsts</v>
      </c>
      <c r="J39" s="8"/>
    </row>
    <row r="40" spans="1:10" x14ac:dyDescent="0.3">
      <c r="A40" s="12" t="s">
        <v>42</v>
      </c>
      <c r="B40" s="3">
        <v>45857</v>
      </c>
      <c r="C40" s="2" t="s">
        <v>54</v>
      </c>
      <c r="D40" s="2" t="s">
        <v>54</v>
      </c>
      <c r="E40" s="2" t="s">
        <v>54</v>
      </c>
      <c r="F40" s="2"/>
      <c r="G40" s="2" t="s">
        <v>54</v>
      </c>
      <c r="H40" s="6">
        <f>SUM(IF(C40&gt;1000,2,0),IF(D40&lt;=-4,2,0),IF(E40&lt;=3000,1,0),IF(F40&gt;10,1,0),IF(G40&gt;=55,2,0))</f>
        <v>4</v>
      </c>
      <c r="I40" s="6" t="str">
        <f t="shared" si="1"/>
        <v>Zems-mērens</v>
      </c>
      <c r="J40" s="8"/>
    </row>
    <row r="41" spans="1:10" x14ac:dyDescent="0.3">
      <c r="A41" s="8" t="s">
        <v>41</v>
      </c>
      <c r="B41" s="3">
        <v>45858</v>
      </c>
      <c r="C41" s="2">
        <v>1768</v>
      </c>
      <c r="D41" s="2">
        <v>-5</v>
      </c>
      <c r="E41" s="2">
        <v>4600</v>
      </c>
      <c r="F41" s="2"/>
      <c r="G41" s="2">
        <v>52</v>
      </c>
      <c r="H41" s="6">
        <f t="shared" si="0"/>
        <v>4</v>
      </c>
      <c r="I41" s="6" t="str">
        <f t="shared" si="1"/>
        <v>Zems-mērens</v>
      </c>
      <c r="J41" s="8"/>
    </row>
    <row r="42" spans="1:10" x14ac:dyDescent="0.3">
      <c r="A42" s="8" t="s">
        <v>44</v>
      </c>
      <c r="B42" s="3">
        <v>45859</v>
      </c>
      <c r="C42" s="2">
        <v>2158</v>
      </c>
      <c r="D42" s="2">
        <v>-7</v>
      </c>
      <c r="E42" s="2">
        <v>3900</v>
      </c>
      <c r="F42" s="2"/>
      <c r="G42" s="2">
        <v>57</v>
      </c>
      <c r="H42" s="6">
        <f>SUM(IF(C42&gt;1000,2,0),IF(D42&lt;=-4,2,0),IF(E42&lt;=3000,1,0),IF(F42&gt;10,1,0),IF(G42&gt;=55,2,0))</f>
        <v>6</v>
      </c>
      <c r="I42" s="6" t="str">
        <f t="shared" si="1"/>
        <v>Mērens-augsts</v>
      </c>
      <c r="J42" s="8"/>
    </row>
    <row r="43" spans="1:10" x14ac:dyDescent="0.3">
      <c r="A43" s="8" t="s">
        <v>53</v>
      </c>
      <c r="B43" s="3">
        <v>45860</v>
      </c>
      <c r="C43" s="2"/>
      <c r="D43" s="2"/>
      <c r="E43" s="2"/>
      <c r="F43" s="2"/>
      <c r="G43" s="2"/>
      <c r="H43" s="6">
        <f t="shared" si="0"/>
        <v>1</v>
      </c>
      <c r="I43" s="6" t="str">
        <f t="shared" si="1"/>
        <v>Ļoti zems</v>
      </c>
      <c r="J43" s="8"/>
    </row>
    <row r="44" spans="1:10" x14ac:dyDescent="0.3">
      <c r="A44" s="8" t="s">
        <v>45</v>
      </c>
      <c r="B44" s="3">
        <v>45861</v>
      </c>
      <c r="C44" s="2">
        <v>611</v>
      </c>
      <c r="D44" s="2"/>
      <c r="E44" s="2"/>
      <c r="F44" s="2"/>
      <c r="G44" s="2"/>
      <c r="H44" s="6">
        <f t="shared" si="0"/>
        <v>1</v>
      </c>
      <c r="I44" s="6" t="str">
        <f t="shared" si="1"/>
        <v>Ļoti zems</v>
      </c>
      <c r="J44" s="8"/>
    </row>
    <row r="45" spans="1:10" x14ac:dyDescent="0.3">
      <c r="A45" s="8" t="s">
        <v>46</v>
      </c>
      <c r="B45" s="3">
        <v>45862</v>
      </c>
      <c r="C45" s="2"/>
      <c r="D45" s="2"/>
      <c r="E45" s="2"/>
      <c r="F45" s="2"/>
      <c r="G45" s="2"/>
      <c r="H45" s="6">
        <f t="shared" si="0"/>
        <v>1</v>
      </c>
      <c r="I45" s="6" t="str">
        <f t="shared" si="1"/>
        <v>Ļoti zems</v>
      </c>
      <c r="J45" s="8"/>
    </row>
    <row r="46" spans="1:10" x14ac:dyDescent="0.3">
      <c r="A46" s="8" t="s">
        <v>47</v>
      </c>
      <c r="B46" s="3">
        <v>45863</v>
      </c>
      <c r="C46" s="2"/>
      <c r="D46" s="2"/>
      <c r="E46" s="2"/>
      <c r="F46" s="2"/>
      <c r="G46" s="2"/>
      <c r="H46" s="6">
        <f t="shared" si="0"/>
        <v>1</v>
      </c>
      <c r="I46" s="6" t="str">
        <f t="shared" si="1"/>
        <v>Ļoti zems</v>
      </c>
      <c r="J46" s="8"/>
    </row>
    <row r="47" spans="1:10" x14ac:dyDescent="0.3">
      <c r="A47" s="8"/>
      <c r="B47" s="3">
        <v>45864</v>
      </c>
      <c r="C47" s="2"/>
      <c r="D47" s="2"/>
      <c r="E47" s="2"/>
      <c r="F47" s="2"/>
      <c r="G47" s="2"/>
      <c r="H47" s="6">
        <f t="shared" si="0"/>
        <v>1</v>
      </c>
      <c r="I47" s="6" t="str">
        <f t="shared" si="1"/>
        <v>Ļoti zems</v>
      </c>
      <c r="J47" s="8"/>
    </row>
    <row r="48" spans="1:10" x14ac:dyDescent="0.3">
      <c r="A48" s="8"/>
      <c r="B48" s="3">
        <v>45865</v>
      </c>
      <c r="C48" s="2"/>
      <c r="D48" s="2"/>
      <c r="E48" s="2"/>
      <c r="F48" s="2"/>
      <c r="G48" s="2"/>
      <c r="H48" s="6">
        <f t="shared" si="0"/>
        <v>1</v>
      </c>
      <c r="I48" s="6" t="str">
        <f t="shared" si="1"/>
        <v>Ļoti zems</v>
      </c>
      <c r="J48" s="8"/>
    </row>
    <row r="49" spans="1:10" x14ac:dyDescent="0.3">
      <c r="A49" s="8"/>
      <c r="B49" s="3">
        <v>45866</v>
      </c>
      <c r="C49" s="2"/>
      <c r="D49" s="2"/>
      <c r="E49" s="2"/>
      <c r="F49" s="2"/>
      <c r="G49" s="2"/>
      <c r="H49" s="6">
        <f t="shared" si="0"/>
        <v>1</v>
      </c>
      <c r="I49" s="6" t="str">
        <f t="shared" si="1"/>
        <v>Ļoti zems</v>
      </c>
      <c r="J49" s="8"/>
    </row>
    <row r="50" spans="1:10" x14ac:dyDescent="0.3">
      <c r="A50" s="8"/>
      <c r="B50" s="3">
        <v>45867</v>
      </c>
      <c r="C50" s="2"/>
      <c r="D50" s="2"/>
      <c r="E50" s="2"/>
      <c r="F50" s="2"/>
      <c r="G50" s="2"/>
      <c r="H50" s="6">
        <f t="shared" si="0"/>
        <v>1</v>
      </c>
      <c r="I50" s="6" t="str">
        <f t="shared" si="1"/>
        <v>Ļoti zems</v>
      </c>
      <c r="J50" s="8"/>
    </row>
    <row r="51" spans="1:10" x14ac:dyDescent="0.3">
      <c r="A51" s="8"/>
      <c r="B51" s="3">
        <v>45868</v>
      </c>
      <c r="C51" s="2"/>
      <c r="D51" s="2"/>
      <c r="E51" s="2"/>
      <c r="F51" s="2"/>
      <c r="G51" s="2"/>
      <c r="H51" s="6">
        <f t="shared" si="0"/>
        <v>1</v>
      </c>
      <c r="I51" s="6" t="str">
        <f t="shared" si="1"/>
        <v>Ļoti zems</v>
      </c>
      <c r="J51" s="8"/>
    </row>
    <row r="52" spans="1:10" x14ac:dyDescent="0.3">
      <c r="A52" s="8"/>
      <c r="B52" s="3">
        <v>45869</v>
      </c>
      <c r="C52" s="2"/>
      <c r="D52" s="2"/>
      <c r="E52" s="2"/>
      <c r="F52" s="2"/>
      <c r="G52" s="2"/>
      <c r="H52" s="6">
        <f t="shared" si="0"/>
        <v>1</v>
      </c>
      <c r="I52" s="6" t="str">
        <f t="shared" si="1"/>
        <v>Ļoti zems</v>
      </c>
      <c r="J52" s="8"/>
    </row>
    <row r="53" spans="1:10" x14ac:dyDescent="0.3">
      <c r="A53" s="8"/>
      <c r="B53" s="3">
        <v>45870</v>
      </c>
      <c r="C53" s="2"/>
      <c r="D53" s="2"/>
      <c r="E53" s="2"/>
      <c r="F53" s="2"/>
      <c r="G53" s="2"/>
      <c r="H53" s="6">
        <f t="shared" si="0"/>
        <v>1</v>
      </c>
      <c r="I53" s="6" t="str">
        <f t="shared" si="1"/>
        <v>Ļoti zems</v>
      </c>
      <c r="J53" s="8"/>
    </row>
    <row r="54" spans="1:10" x14ac:dyDescent="0.3">
      <c r="A54" s="8" t="s">
        <v>55</v>
      </c>
      <c r="B54" s="3">
        <v>45871</v>
      </c>
      <c r="C54" s="2"/>
      <c r="D54" s="2"/>
      <c r="E54" s="2"/>
      <c r="F54" s="2"/>
      <c r="G54" s="2"/>
      <c r="H54" s="6">
        <f t="shared" si="0"/>
        <v>1</v>
      </c>
      <c r="I54" s="6" t="str">
        <f t="shared" si="1"/>
        <v>Ļoti zems</v>
      </c>
      <c r="J54" s="8"/>
    </row>
    <row r="55" spans="1:10" x14ac:dyDescent="0.3">
      <c r="A55" s="8"/>
      <c r="B55" s="3">
        <v>45872</v>
      </c>
      <c r="C55" s="2"/>
      <c r="D55" s="2"/>
      <c r="E55" s="2"/>
      <c r="F55" s="2"/>
      <c r="G55" s="2"/>
      <c r="H55" s="6">
        <f t="shared" si="0"/>
        <v>1</v>
      </c>
      <c r="I55" s="6" t="str">
        <f t="shared" si="1"/>
        <v>Ļoti zems</v>
      </c>
      <c r="J55" s="8"/>
    </row>
    <row r="56" spans="1:10" x14ac:dyDescent="0.3">
      <c r="A56" s="8"/>
      <c r="B56" s="3">
        <v>45873</v>
      </c>
      <c r="C56" s="2"/>
      <c r="D56" s="2"/>
      <c r="E56" s="2"/>
      <c r="F56" s="2"/>
      <c r="G56" s="2"/>
      <c r="H56" s="6">
        <f t="shared" si="0"/>
        <v>1</v>
      </c>
      <c r="I56" s="6" t="str">
        <f t="shared" si="1"/>
        <v>Ļoti zems</v>
      </c>
      <c r="J56" s="8"/>
    </row>
    <row r="57" spans="1:10" x14ac:dyDescent="0.3">
      <c r="A57" s="8"/>
      <c r="B57" s="3">
        <v>45874</v>
      </c>
      <c r="C57" s="2"/>
      <c r="D57" s="2"/>
      <c r="E57" s="2"/>
      <c r="F57" s="2"/>
      <c r="G57" s="2"/>
      <c r="H57" s="6">
        <f t="shared" ref="H57:H113" si="2">SUM(IF(C57&gt;1000,2,0),IF(D57&lt;=-4,2,0),IF(E57&lt;=3000,1,0),IF(F57&gt;10,1,0),IF(G57&gt;=55,2,0))</f>
        <v>1</v>
      </c>
      <c r="I57" s="6" t="str">
        <f t="shared" ref="I57:I113" si="3">IF(H57&gt;=7,"Ļoti augsts",IF(H57&gt;=5,"Mērens-augsts",IF(H57&gt;=3,"Zems-mērens","Ļoti zems")))</f>
        <v>Ļoti zems</v>
      </c>
      <c r="J57" s="8"/>
    </row>
    <row r="58" spans="1:10" x14ac:dyDescent="0.3">
      <c r="A58" s="8"/>
      <c r="B58" s="3">
        <v>45875</v>
      </c>
      <c r="C58" s="2"/>
      <c r="D58" s="2"/>
      <c r="E58" s="2"/>
      <c r="F58" s="2"/>
      <c r="G58" s="2"/>
      <c r="H58" s="6">
        <f t="shared" si="2"/>
        <v>1</v>
      </c>
      <c r="I58" s="6" t="str">
        <f t="shared" si="3"/>
        <v>Ļoti zems</v>
      </c>
      <c r="J58" s="8"/>
    </row>
    <row r="59" spans="1:10" x14ac:dyDescent="0.3">
      <c r="A59" s="8"/>
      <c r="B59" s="3">
        <v>45876</v>
      </c>
      <c r="C59" s="2"/>
      <c r="D59" s="2"/>
      <c r="E59" s="2"/>
      <c r="F59" s="2"/>
      <c r="G59" s="2"/>
      <c r="H59" s="6">
        <f t="shared" si="2"/>
        <v>1</v>
      </c>
      <c r="I59" s="6" t="str">
        <f t="shared" si="3"/>
        <v>Ļoti zems</v>
      </c>
      <c r="J59" s="8"/>
    </row>
    <row r="60" spans="1:10" x14ac:dyDescent="0.3">
      <c r="A60" s="8"/>
      <c r="B60" s="3">
        <v>45877</v>
      </c>
      <c r="C60" s="2"/>
      <c r="D60" s="2"/>
      <c r="E60" s="2"/>
      <c r="F60" s="2"/>
      <c r="G60" s="2"/>
      <c r="H60" s="6">
        <f t="shared" si="2"/>
        <v>1</v>
      </c>
      <c r="I60" s="6" t="str">
        <f t="shared" si="3"/>
        <v>Ļoti zems</v>
      </c>
      <c r="J60" s="8"/>
    </row>
    <row r="61" spans="1:10" x14ac:dyDescent="0.3">
      <c r="A61" s="8"/>
      <c r="B61" s="3">
        <v>45878</v>
      </c>
      <c r="C61" s="2"/>
      <c r="D61" s="2"/>
      <c r="E61" s="2"/>
      <c r="F61" s="2"/>
      <c r="G61" s="2"/>
      <c r="H61" s="6">
        <f t="shared" si="2"/>
        <v>1</v>
      </c>
      <c r="I61" s="6" t="str">
        <f t="shared" si="3"/>
        <v>Ļoti zems</v>
      </c>
      <c r="J61" s="8"/>
    </row>
    <row r="62" spans="1:10" x14ac:dyDescent="0.3">
      <c r="A62" s="8"/>
      <c r="B62" s="3">
        <v>45879</v>
      </c>
      <c r="C62" s="2"/>
      <c r="D62" s="2"/>
      <c r="E62" s="2"/>
      <c r="F62" s="2"/>
      <c r="G62" s="2"/>
      <c r="H62" s="6">
        <f t="shared" si="2"/>
        <v>1</v>
      </c>
      <c r="I62" s="6" t="str">
        <f t="shared" si="3"/>
        <v>Ļoti zems</v>
      </c>
      <c r="J62" s="8"/>
    </row>
    <row r="63" spans="1:10" x14ac:dyDescent="0.3">
      <c r="A63" s="8"/>
      <c r="B63" s="3">
        <v>45880</v>
      </c>
      <c r="C63" s="2"/>
      <c r="D63" s="2"/>
      <c r="E63" s="2"/>
      <c r="F63" s="2"/>
      <c r="G63" s="2"/>
      <c r="H63" s="6">
        <f t="shared" si="2"/>
        <v>1</v>
      </c>
      <c r="I63" s="6" t="str">
        <f t="shared" si="3"/>
        <v>Ļoti zems</v>
      </c>
      <c r="J63" s="8"/>
    </row>
    <row r="64" spans="1:10" x14ac:dyDescent="0.3">
      <c r="A64" s="8"/>
      <c r="B64" s="3">
        <v>45881</v>
      </c>
      <c r="C64" s="2"/>
      <c r="D64" s="2"/>
      <c r="E64" s="2"/>
      <c r="F64" s="2"/>
      <c r="G64" s="2"/>
      <c r="H64" s="6">
        <f t="shared" si="2"/>
        <v>1</v>
      </c>
      <c r="I64" s="6" t="str">
        <f t="shared" si="3"/>
        <v>Ļoti zems</v>
      </c>
      <c r="J64" s="8"/>
    </row>
    <row r="65" spans="1:10" x14ac:dyDescent="0.3">
      <c r="A65" s="8"/>
      <c r="B65" s="3">
        <v>45882</v>
      </c>
      <c r="C65" s="2"/>
      <c r="D65" s="2"/>
      <c r="E65" s="2"/>
      <c r="F65" s="2"/>
      <c r="G65" s="2"/>
      <c r="H65" s="6">
        <f t="shared" si="2"/>
        <v>1</v>
      </c>
      <c r="I65" s="6" t="str">
        <f t="shared" si="3"/>
        <v>Ļoti zems</v>
      </c>
      <c r="J65" s="8"/>
    </row>
    <row r="66" spans="1:10" x14ac:dyDescent="0.3">
      <c r="A66" s="8"/>
      <c r="B66" s="3">
        <v>45883</v>
      </c>
      <c r="C66" s="2"/>
      <c r="D66" s="2"/>
      <c r="E66" s="2"/>
      <c r="F66" s="2"/>
      <c r="G66" s="2"/>
      <c r="H66" s="6">
        <f t="shared" si="2"/>
        <v>1</v>
      </c>
      <c r="I66" s="6" t="str">
        <f t="shared" si="3"/>
        <v>Ļoti zems</v>
      </c>
      <c r="J66" s="8"/>
    </row>
    <row r="67" spans="1:10" x14ac:dyDescent="0.3">
      <c r="A67" s="8"/>
      <c r="B67" s="3">
        <v>45884</v>
      </c>
      <c r="C67" s="2"/>
      <c r="D67" s="2"/>
      <c r="E67" s="2"/>
      <c r="F67" s="2"/>
      <c r="G67" s="2"/>
      <c r="H67" s="6">
        <f t="shared" si="2"/>
        <v>1</v>
      </c>
      <c r="I67" s="6" t="str">
        <f t="shared" si="3"/>
        <v>Ļoti zems</v>
      </c>
      <c r="J67" s="8"/>
    </row>
    <row r="68" spans="1:10" x14ac:dyDescent="0.3">
      <c r="A68" s="8"/>
      <c r="B68" s="3">
        <v>45885</v>
      </c>
      <c r="C68" s="2"/>
      <c r="D68" s="2"/>
      <c r="E68" s="2"/>
      <c r="F68" s="2"/>
      <c r="G68" s="2"/>
      <c r="H68" s="6">
        <f t="shared" si="2"/>
        <v>1</v>
      </c>
      <c r="I68" s="6" t="str">
        <f t="shared" si="3"/>
        <v>Ļoti zems</v>
      </c>
      <c r="J68" s="8"/>
    </row>
    <row r="69" spans="1:10" x14ac:dyDescent="0.3">
      <c r="A69" s="8"/>
      <c r="B69" s="3">
        <v>45886</v>
      </c>
      <c r="C69" s="2"/>
      <c r="D69" s="2"/>
      <c r="E69" s="2"/>
      <c r="F69" s="2"/>
      <c r="G69" s="2"/>
      <c r="H69" s="6">
        <f t="shared" si="2"/>
        <v>1</v>
      </c>
      <c r="I69" s="6" t="str">
        <f t="shared" si="3"/>
        <v>Ļoti zems</v>
      </c>
      <c r="J69" s="8"/>
    </row>
    <row r="70" spans="1:10" x14ac:dyDescent="0.3">
      <c r="A70" s="8"/>
      <c r="B70" s="3">
        <v>45887</v>
      </c>
      <c r="C70" s="2"/>
      <c r="D70" s="2"/>
      <c r="E70" s="2"/>
      <c r="F70" s="2"/>
      <c r="G70" s="2"/>
      <c r="H70" s="6">
        <f t="shared" si="2"/>
        <v>1</v>
      </c>
      <c r="I70" s="6" t="str">
        <f t="shared" si="3"/>
        <v>Ļoti zems</v>
      </c>
      <c r="J70" s="8"/>
    </row>
    <row r="71" spans="1:10" x14ac:dyDescent="0.3">
      <c r="A71" s="8"/>
      <c r="B71" s="3">
        <v>45888</v>
      </c>
      <c r="C71" s="2"/>
      <c r="D71" s="2"/>
      <c r="E71" s="2"/>
      <c r="F71" s="2"/>
      <c r="G71" s="2"/>
      <c r="H71" s="6">
        <f t="shared" si="2"/>
        <v>1</v>
      </c>
      <c r="I71" s="6" t="str">
        <f t="shared" si="3"/>
        <v>Ļoti zems</v>
      </c>
      <c r="J71" s="8"/>
    </row>
    <row r="72" spans="1:10" x14ac:dyDescent="0.3">
      <c r="A72" s="8"/>
      <c r="B72" s="3">
        <v>45889</v>
      </c>
      <c r="C72" s="2"/>
      <c r="D72" s="2"/>
      <c r="E72" s="2"/>
      <c r="F72" s="2"/>
      <c r="G72" s="2"/>
      <c r="H72" s="6">
        <f t="shared" si="2"/>
        <v>1</v>
      </c>
      <c r="I72" s="6" t="str">
        <f t="shared" si="3"/>
        <v>Ļoti zems</v>
      </c>
      <c r="J72" s="8"/>
    </row>
    <row r="73" spans="1:10" x14ac:dyDescent="0.3">
      <c r="A73" s="8"/>
      <c r="B73" s="3">
        <v>45890</v>
      </c>
      <c r="C73" s="2"/>
      <c r="D73" s="2"/>
      <c r="E73" s="2"/>
      <c r="F73" s="2"/>
      <c r="G73" s="2"/>
      <c r="H73" s="6">
        <f t="shared" si="2"/>
        <v>1</v>
      </c>
      <c r="I73" s="6" t="str">
        <f t="shared" si="3"/>
        <v>Ļoti zems</v>
      </c>
      <c r="J73" s="8"/>
    </row>
    <row r="74" spans="1:10" x14ac:dyDescent="0.3">
      <c r="A74" s="8"/>
      <c r="B74" s="3">
        <v>45891</v>
      </c>
      <c r="C74" s="2"/>
      <c r="D74" s="2"/>
      <c r="E74" s="2"/>
      <c r="F74" s="2"/>
      <c r="G74" s="2"/>
      <c r="H74" s="6">
        <f t="shared" si="2"/>
        <v>1</v>
      </c>
      <c r="I74" s="6" t="str">
        <f t="shared" si="3"/>
        <v>Ļoti zems</v>
      </c>
      <c r="J74" s="8"/>
    </row>
    <row r="75" spans="1:10" x14ac:dyDescent="0.3">
      <c r="A75" s="8"/>
      <c r="B75" s="3">
        <v>45892</v>
      </c>
      <c r="C75" s="2"/>
      <c r="D75" s="2"/>
      <c r="E75" s="2"/>
      <c r="F75" s="2"/>
      <c r="G75" s="2"/>
      <c r="H75" s="6">
        <f t="shared" si="2"/>
        <v>1</v>
      </c>
      <c r="I75" s="6" t="str">
        <f t="shared" si="3"/>
        <v>Ļoti zems</v>
      </c>
      <c r="J75" s="8"/>
    </row>
    <row r="76" spans="1:10" x14ac:dyDescent="0.3">
      <c r="A76" s="8"/>
      <c r="B76" s="3">
        <v>45893</v>
      </c>
      <c r="C76" s="2"/>
      <c r="D76" s="2"/>
      <c r="E76" s="2"/>
      <c r="F76" s="2"/>
      <c r="G76" s="2"/>
      <c r="H76" s="6">
        <f t="shared" si="2"/>
        <v>1</v>
      </c>
      <c r="I76" s="6" t="str">
        <f t="shared" si="3"/>
        <v>Ļoti zems</v>
      </c>
      <c r="J76" s="8"/>
    </row>
    <row r="77" spans="1:10" x14ac:dyDescent="0.3">
      <c r="A77" s="8"/>
      <c r="B77" s="3">
        <v>45894</v>
      </c>
      <c r="C77" s="2"/>
      <c r="D77" s="2"/>
      <c r="E77" s="2"/>
      <c r="F77" s="2"/>
      <c r="G77" s="2"/>
      <c r="H77" s="6">
        <f t="shared" si="2"/>
        <v>1</v>
      </c>
      <c r="I77" s="6" t="str">
        <f t="shared" si="3"/>
        <v>Ļoti zems</v>
      </c>
      <c r="J77" s="8"/>
    </row>
    <row r="78" spans="1:10" x14ac:dyDescent="0.3">
      <c r="A78" s="8"/>
      <c r="B78" s="3">
        <v>45895</v>
      </c>
      <c r="C78" s="2"/>
      <c r="D78" s="2"/>
      <c r="E78" s="2"/>
      <c r="F78" s="2"/>
      <c r="G78" s="2"/>
      <c r="H78" s="6">
        <f t="shared" si="2"/>
        <v>1</v>
      </c>
      <c r="I78" s="6" t="str">
        <f t="shared" si="3"/>
        <v>Ļoti zems</v>
      </c>
      <c r="J78" s="8"/>
    </row>
    <row r="79" spans="1:10" x14ac:dyDescent="0.3">
      <c r="A79" s="8"/>
      <c r="B79" s="3">
        <v>45896</v>
      </c>
      <c r="C79" s="2"/>
      <c r="D79" s="2"/>
      <c r="E79" s="2"/>
      <c r="F79" s="2"/>
      <c r="G79" s="2"/>
      <c r="H79" s="6">
        <f t="shared" si="2"/>
        <v>1</v>
      </c>
      <c r="I79" s="6" t="str">
        <f t="shared" si="3"/>
        <v>Ļoti zems</v>
      </c>
      <c r="J79" s="8"/>
    </row>
    <row r="80" spans="1:10" x14ac:dyDescent="0.3">
      <c r="A80" s="8"/>
      <c r="B80" s="3">
        <v>45897</v>
      </c>
      <c r="C80" s="2"/>
      <c r="D80" s="2"/>
      <c r="E80" s="2"/>
      <c r="F80" s="2"/>
      <c r="G80" s="2"/>
      <c r="H80" s="6">
        <f t="shared" si="2"/>
        <v>1</v>
      </c>
      <c r="I80" s="6" t="str">
        <f t="shared" si="3"/>
        <v>Ļoti zems</v>
      </c>
      <c r="J80" s="8"/>
    </row>
    <row r="81" spans="1:10" x14ac:dyDescent="0.3">
      <c r="A81" s="8"/>
      <c r="B81" s="3">
        <v>45898</v>
      </c>
      <c r="C81" s="2"/>
      <c r="D81" s="2"/>
      <c r="E81" s="2"/>
      <c r="F81" s="2"/>
      <c r="G81" s="2"/>
      <c r="H81" s="6">
        <f t="shared" si="2"/>
        <v>1</v>
      </c>
      <c r="I81" s="6" t="str">
        <f t="shared" si="3"/>
        <v>Ļoti zems</v>
      </c>
      <c r="J81" s="8"/>
    </row>
    <row r="82" spans="1:10" x14ac:dyDescent="0.3">
      <c r="A82" s="8"/>
      <c r="B82" s="3">
        <v>45899</v>
      </c>
      <c r="C82" s="2"/>
      <c r="D82" s="2"/>
      <c r="E82" s="2"/>
      <c r="F82" s="2"/>
      <c r="G82" s="2"/>
      <c r="H82" s="6">
        <f t="shared" si="2"/>
        <v>1</v>
      </c>
      <c r="I82" s="6" t="str">
        <f t="shared" si="3"/>
        <v>Ļoti zems</v>
      </c>
      <c r="J82" s="8"/>
    </row>
    <row r="83" spans="1:10" x14ac:dyDescent="0.3">
      <c r="A83" s="8"/>
      <c r="B83" s="3">
        <v>45900</v>
      </c>
      <c r="C83" s="2"/>
      <c r="D83" s="2"/>
      <c r="E83" s="2"/>
      <c r="F83" s="2"/>
      <c r="G83" s="2"/>
      <c r="H83" s="6">
        <f t="shared" si="2"/>
        <v>1</v>
      </c>
      <c r="I83" s="6" t="str">
        <f t="shared" si="3"/>
        <v>Ļoti zems</v>
      </c>
      <c r="J83" s="8"/>
    </row>
    <row r="84" spans="1:10" x14ac:dyDescent="0.3">
      <c r="A84" s="8"/>
      <c r="B84" s="3">
        <v>45901</v>
      </c>
      <c r="C84" s="2"/>
      <c r="D84" s="2"/>
      <c r="E84" s="2"/>
      <c r="F84" s="2"/>
      <c r="G84" s="2"/>
      <c r="H84" s="6">
        <f t="shared" si="2"/>
        <v>1</v>
      </c>
      <c r="I84" s="6" t="str">
        <f t="shared" si="3"/>
        <v>Ļoti zems</v>
      </c>
      <c r="J84" s="8"/>
    </row>
    <row r="85" spans="1:10" x14ac:dyDescent="0.3">
      <c r="A85" s="8"/>
      <c r="B85" s="3">
        <v>45902</v>
      </c>
      <c r="C85" s="2"/>
      <c r="D85" s="2"/>
      <c r="E85" s="2"/>
      <c r="F85" s="2"/>
      <c r="G85" s="2"/>
      <c r="H85" s="6">
        <f t="shared" si="2"/>
        <v>1</v>
      </c>
      <c r="I85" s="6" t="str">
        <f t="shared" si="3"/>
        <v>Ļoti zems</v>
      </c>
      <c r="J85" s="8"/>
    </row>
    <row r="86" spans="1:10" x14ac:dyDescent="0.3">
      <c r="A86" s="8"/>
      <c r="B86" s="3">
        <v>45903</v>
      </c>
      <c r="C86" s="2"/>
      <c r="D86" s="2"/>
      <c r="E86" s="2"/>
      <c r="F86" s="2"/>
      <c r="G86" s="2"/>
      <c r="H86" s="6">
        <f t="shared" si="2"/>
        <v>1</v>
      </c>
      <c r="I86" s="6" t="str">
        <f t="shared" si="3"/>
        <v>Ļoti zems</v>
      </c>
      <c r="J86" s="8"/>
    </row>
    <row r="87" spans="1:10" x14ac:dyDescent="0.3">
      <c r="A87" s="8"/>
      <c r="B87" s="3">
        <v>45904</v>
      </c>
      <c r="C87" s="2"/>
      <c r="D87" s="2"/>
      <c r="E87" s="2"/>
      <c r="F87" s="2"/>
      <c r="G87" s="2"/>
      <c r="H87" s="6">
        <f t="shared" si="2"/>
        <v>1</v>
      </c>
      <c r="I87" s="6" t="str">
        <f t="shared" si="3"/>
        <v>Ļoti zems</v>
      </c>
      <c r="J87" s="8"/>
    </row>
    <row r="88" spans="1:10" x14ac:dyDescent="0.3">
      <c r="A88" s="8"/>
      <c r="B88" s="3">
        <v>45905</v>
      </c>
      <c r="C88" s="2"/>
      <c r="D88" s="2"/>
      <c r="E88" s="2"/>
      <c r="F88" s="2"/>
      <c r="G88" s="2"/>
      <c r="H88" s="6">
        <f t="shared" si="2"/>
        <v>1</v>
      </c>
      <c r="I88" s="6" t="str">
        <f t="shared" si="3"/>
        <v>Ļoti zems</v>
      </c>
      <c r="J88" s="8"/>
    </row>
    <row r="89" spans="1:10" x14ac:dyDescent="0.3">
      <c r="A89" s="8"/>
      <c r="B89" s="3">
        <v>45906</v>
      </c>
      <c r="C89" s="2"/>
      <c r="D89" s="2"/>
      <c r="E89" s="2"/>
      <c r="F89" s="2"/>
      <c r="G89" s="2"/>
      <c r="H89" s="6">
        <f t="shared" si="2"/>
        <v>1</v>
      </c>
      <c r="I89" s="6" t="str">
        <f t="shared" si="3"/>
        <v>Ļoti zems</v>
      </c>
      <c r="J89" s="8"/>
    </row>
    <row r="90" spans="1:10" x14ac:dyDescent="0.3">
      <c r="A90" s="8"/>
      <c r="B90" s="3">
        <v>45907</v>
      </c>
      <c r="C90" s="2"/>
      <c r="D90" s="2"/>
      <c r="E90" s="2"/>
      <c r="F90" s="2"/>
      <c r="G90" s="2"/>
      <c r="H90" s="6">
        <f t="shared" si="2"/>
        <v>1</v>
      </c>
      <c r="I90" s="6" t="str">
        <f t="shared" si="3"/>
        <v>Ļoti zems</v>
      </c>
      <c r="J90" s="8"/>
    </row>
    <row r="91" spans="1:10" x14ac:dyDescent="0.3">
      <c r="A91" s="8"/>
      <c r="B91" s="3">
        <v>45908</v>
      </c>
      <c r="C91" s="2"/>
      <c r="D91" s="2"/>
      <c r="E91" s="2"/>
      <c r="F91" s="2"/>
      <c r="G91" s="2"/>
      <c r="H91" s="6">
        <f t="shared" si="2"/>
        <v>1</v>
      </c>
      <c r="I91" s="6" t="str">
        <f t="shared" si="3"/>
        <v>Ļoti zems</v>
      </c>
      <c r="J91" s="8"/>
    </row>
    <row r="92" spans="1:10" x14ac:dyDescent="0.3">
      <c r="A92" s="8"/>
      <c r="B92" s="3">
        <v>45909</v>
      </c>
      <c r="C92" s="2"/>
      <c r="D92" s="2"/>
      <c r="E92" s="2"/>
      <c r="F92" s="2"/>
      <c r="G92" s="2"/>
      <c r="H92" s="6">
        <f t="shared" si="2"/>
        <v>1</v>
      </c>
      <c r="I92" s="6" t="str">
        <f t="shared" si="3"/>
        <v>Ļoti zems</v>
      </c>
      <c r="J92" s="8"/>
    </row>
    <row r="93" spans="1:10" x14ac:dyDescent="0.3">
      <c r="A93" s="8"/>
      <c r="B93" s="3">
        <v>45910</v>
      </c>
      <c r="C93" s="2"/>
      <c r="D93" s="2"/>
      <c r="E93" s="2"/>
      <c r="F93" s="2"/>
      <c r="G93" s="2"/>
      <c r="H93" s="6">
        <f t="shared" si="2"/>
        <v>1</v>
      </c>
      <c r="I93" s="6" t="str">
        <f t="shared" si="3"/>
        <v>Ļoti zems</v>
      </c>
      <c r="J93" s="8"/>
    </row>
    <row r="94" spans="1:10" x14ac:dyDescent="0.3">
      <c r="A94" s="8"/>
      <c r="B94" s="3">
        <v>45911</v>
      </c>
      <c r="C94" s="2"/>
      <c r="D94" s="2"/>
      <c r="E94" s="2"/>
      <c r="F94" s="2"/>
      <c r="G94" s="2"/>
      <c r="H94" s="6">
        <f t="shared" si="2"/>
        <v>1</v>
      </c>
      <c r="I94" s="6" t="str">
        <f t="shared" si="3"/>
        <v>Ļoti zems</v>
      </c>
      <c r="J94" s="8"/>
    </row>
    <row r="95" spans="1:10" x14ac:dyDescent="0.3">
      <c r="A95" s="8"/>
      <c r="B95" s="3">
        <v>45912</v>
      </c>
      <c r="C95" s="2"/>
      <c r="D95" s="2"/>
      <c r="E95" s="2"/>
      <c r="F95" s="2"/>
      <c r="G95" s="2"/>
      <c r="H95" s="6">
        <f t="shared" si="2"/>
        <v>1</v>
      </c>
      <c r="I95" s="6" t="str">
        <f t="shared" si="3"/>
        <v>Ļoti zems</v>
      </c>
      <c r="J95" s="8"/>
    </row>
    <row r="96" spans="1:10" x14ac:dyDescent="0.3">
      <c r="A96" s="8"/>
      <c r="B96" s="3">
        <v>45913</v>
      </c>
      <c r="C96" s="2"/>
      <c r="D96" s="2"/>
      <c r="E96" s="2"/>
      <c r="F96" s="2"/>
      <c r="G96" s="2"/>
      <c r="H96" s="6">
        <f t="shared" si="2"/>
        <v>1</v>
      </c>
      <c r="I96" s="6" t="str">
        <f t="shared" si="3"/>
        <v>Ļoti zems</v>
      </c>
      <c r="J96" s="8"/>
    </row>
    <row r="97" spans="1:10" x14ac:dyDescent="0.3">
      <c r="A97" s="8"/>
      <c r="B97" s="3">
        <v>45914</v>
      </c>
      <c r="C97" s="2"/>
      <c r="D97" s="2"/>
      <c r="E97" s="2"/>
      <c r="F97" s="2"/>
      <c r="G97" s="2"/>
      <c r="H97" s="6">
        <f t="shared" si="2"/>
        <v>1</v>
      </c>
      <c r="I97" s="6" t="str">
        <f t="shared" si="3"/>
        <v>Ļoti zems</v>
      </c>
      <c r="J97" s="8"/>
    </row>
    <row r="98" spans="1:10" x14ac:dyDescent="0.3">
      <c r="A98" s="8"/>
      <c r="B98" s="3">
        <v>45915</v>
      </c>
      <c r="C98" s="2"/>
      <c r="D98" s="2"/>
      <c r="E98" s="2"/>
      <c r="F98" s="2"/>
      <c r="G98" s="2"/>
      <c r="H98" s="6">
        <f t="shared" si="2"/>
        <v>1</v>
      </c>
      <c r="I98" s="6" t="str">
        <f t="shared" si="3"/>
        <v>Ļoti zems</v>
      </c>
      <c r="J98" s="8"/>
    </row>
    <row r="99" spans="1:10" x14ac:dyDescent="0.3">
      <c r="A99" s="8"/>
      <c r="B99" s="3">
        <v>45916</v>
      </c>
      <c r="C99" s="2"/>
      <c r="D99" s="2"/>
      <c r="E99" s="2"/>
      <c r="F99" s="2"/>
      <c r="G99" s="2"/>
      <c r="H99" s="6">
        <f t="shared" si="2"/>
        <v>1</v>
      </c>
      <c r="I99" s="6" t="str">
        <f t="shared" si="3"/>
        <v>Ļoti zems</v>
      </c>
      <c r="J99" s="8"/>
    </row>
    <row r="100" spans="1:10" x14ac:dyDescent="0.3">
      <c r="A100" s="8"/>
      <c r="B100" s="3">
        <v>45917</v>
      </c>
      <c r="C100" s="2"/>
      <c r="D100" s="2"/>
      <c r="E100" s="2"/>
      <c r="F100" s="2"/>
      <c r="G100" s="2"/>
      <c r="H100" s="6">
        <f t="shared" si="2"/>
        <v>1</v>
      </c>
      <c r="I100" s="6" t="str">
        <f t="shared" si="3"/>
        <v>Ļoti zems</v>
      </c>
      <c r="J100" s="8"/>
    </row>
    <row r="101" spans="1:10" x14ac:dyDescent="0.3">
      <c r="A101" s="8"/>
      <c r="B101" s="3">
        <v>45918</v>
      </c>
      <c r="C101" s="2"/>
      <c r="D101" s="2"/>
      <c r="E101" s="2"/>
      <c r="F101" s="2"/>
      <c r="G101" s="2"/>
      <c r="H101" s="6">
        <f t="shared" si="2"/>
        <v>1</v>
      </c>
      <c r="I101" s="6" t="str">
        <f t="shared" si="3"/>
        <v>Ļoti zems</v>
      </c>
      <c r="J101" s="8"/>
    </row>
    <row r="102" spans="1:10" x14ac:dyDescent="0.3">
      <c r="A102" s="8"/>
      <c r="B102" s="3">
        <v>45919</v>
      </c>
      <c r="C102" s="2"/>
      <c r="D102" s="2"/>
      <c r="E102" s="2"/>
      <c r="F102" s="2"/>
      <c r="G102" s="2"/>
      <c r="H102" s="6">
        <f t="shared" si="2"/>
        <v>1</v>
      </c>
      <c r="I102" s="6" t="str">
        <f t="shared" si="3"/>
        <v>Ļoti zems</v>
      </c>
      <c r="J102" s="8"/>
    </row>
    <row r="103" spans="1:10" x14ac:dyDescent="0.3">
      <c r="A103" s="8"/>
      <c r="B103" s="3">
        <v>45920</v>
      </c>
      <c r="C103" s="2"/>
      <c r="D103" s="2"/>
      <c r="E103" s="2"/>
      <c r="F103" s="2"/>
      <c r="G103" s="2"/>
      <c r="H103" s="6">
        <f t="shared" si="2"/>
        <v>1</v>
      </c>
      <c r="I103" s="6" t="str">
        <f t="shared" si="3"/>
        <v>Ļoti zems</v>
      </c>
      <c r="J103" s="8"/>
    </row>
    <row r="104" spans="1:10" x14ac:dyDescent="0.3">
      <c r="A104" s="8"/>
      <c r="B104" s="3">
        <v>45921</v>
      </c>
      <c r="C104" s="2"/>
      <c r="D104" s="2"/>
      <c r="E104" s="2"/>
      <c r="F104" s="2"/>
      <c r="G104" s="2"/>
      <c r="H104" s="6">
        <f t="shared" si="2"/>
        <v>1</v>
      </c>
      <c r="I104" s="6" t="str">
        <f t="shared" si="3"/>
        <v>Ļoti zems</v>
      </c>
      <c r="J104" s="8"/>
    </row>
    <row r="105" spans="1:10" x14ac:dyDescent="0.3">
      <c r="A105" s="8"/>
      <c r="B105" s="3">
        <v>45922</v>
      </c>
      <c r="C105" s="2"/>
      <c r="D105" s="2"/>
      <c r="E105" s="2"/>
      <c r="F105" s="2"/>
      <c r="G105" s="2"/>
      <c r="H105" s="6">
        <f t="shared" si="2"/>
        <v>1</v>
      </c>
      <c r="I105" s="6" t="str">
        <f t="shared" si="3"/>
        <v>Ļoti zems</v>
      </c>
      <c r="J105" s="8"/>
    </row>
    <row r="106" spans="1:10" x14ac:dyDescent="0.3">
      <c r="A106" s="8"/>
      <c r="B106" s="3">
        <v>45923</v>
      </c>
      <c r="C106" s="2"/>
      <c r="D106" s="2"/>
      <c r="E106" s="2"/>
      <c r="F106" s="2"/>
      <c r="G106" s="2"/>
      <c r="H106" s="6">
        <f t="shared" si="2"/>
        <v>1</v>
      </c>
      <c r="I106" s="6" t="str">
        <f t="shared" si="3"/>
        <v>Ļoti zems</v>
      </c>
      <c r="J106" s="8"/>
    </row>
    <row r="107" spans="1:10" x14ac:dyDescent="0.3">
      <c r="A107" s="8"/>
      <c r="B107" s="3">
        <v>45924</v>
      </c>
      <c r="C107" s="2"/>
      <c r="D107" s="2"/>
      <c r="E107" s="2"/>
      <c r="F107" s="2"/>
      <c r="G107" s="2"/>
      <c r="H107" s="6">
        <f t="shared" si="2"/>
        <v>1</v>
      </c>
      <c r="I107" s="6" t="str">
        <f t="shared" si="3"/>
        <v>Ļoti zems</v>
      </c>
      <c r="J107" s="8"/>
    </row>
    <row r="108" spans="1:10" x14ac:dyDescent="0.3">
      <c r="A108" s="8"/>
      <c r="B108" s="3">
        <v>45925</v>
      </c>
      <c r="C108" s="2"/>
      <c r="D108" s="2"/>
      <c r="E108" s="2"/>
      <c r="F108" s="2"/>
      <c r="G108" s="2"/>
      <c r="H108" s="6">
        <f t="shared" si="2"/>
        <v>1</v>
      </c>
      <c r="I108" s="6" t="str">
        <f t="shared" si="3"/>
        <v>Ļoti zems</v>
      </c>
      <c r="J108" s="8"/>
    </row>
    <row r="109" spans="1:10" x14ac:dyDescent="0.3">
      <c r="A109" s="8"/>
      <c r="B109" s="3">
        <v>45926</v>
      </c>
      <c r="C109" s="2"/>
      <c r="D109" s="2"/>
      <c r="E109" s="2"/>
      <c r="F109" s="2"/>
      <c r="G109" s="2"/>
      <c r="H109" s="6">
        <f t="shared" si="2"/>
        <v>1</v>
      </c>
      <c r="I109" s="6" t="str">
        <f t="shared" si="3"/>
        <v>Ļoti zems</v>
      </c>
      <c r="J109" s="8"/>
    </row>
    <row r="110" spans="1:10" x14ac:dyDescent="0.3">
      <c r="A110" s="8"/>
      <c r="B110" s="3">
        <v>45927</v>
      </c>
      <c r="C110" s="2"/>
      <c r="D110" s="2"/>
      <c r="E110" s="2"/>
      <c r="F110" s="2"/>
      <c r="G110" s="2"/>
      <c r="H110" s="6">
        <f t="shared" si="2"/>
        <v>1</v>
      </c>
      <c r="I110" s="6" t="str">
        <f t="shared" si="3"/>
        <v>Ļoti zems</v>
      </c>
      <c r="J110" s="8"/>
    </row>
    <row r="111" spans="1:10" x14ac:dyDescent="0.3">
      <c r="A111" s="8"/>
      <c r="B111" s="3">
        <v>45928</v>
      </c>
      <c r="C111" s="2"/>
      <c r="D111" s="2"/>
      <c r="E111" s="2"/>
      <c r="F111" s="2"/>
      <c r="G111" s="2"/>
      <c r="H111" s="6">
        <f t="shared" si="2"/>
        <v>1</v>
      </c>
      <c r="I111" s="6" t="str">
        <f t="shared" si="3"/>
        <v>Ļoti zems</v>
      </c>
      <c r="J111" s="8"/>
    </row>
    <row r="112" spans="1:10" x14ac:dyDescent="0.3">
      <c r="A112" s="8"/>
      <c r="B112" s="3">
        <v>45929</v>
      </c>
      <c r="C112" s="2"/>
      <c r="D112" s="2"/>
      <c r="E112" s="2"/>
      <c r="F112" s="2"/>
      <c r="G112" s="2"/>
      <c r="H112" s="6">
        <f t="shared" si="2"/>
        <v>1</v>
      </c>
      <c r="I112" s="6" t="str">
        <f t="shared" si="3"/>
        <v>Ļoti zems</v>
      </c>
      <c r="J112" s="8"/>
    </row>
    <row r="113" spans="1:10" x14ac:dyDescent="0.3">
      <c r="A113" s="8"/>
      <c r="B113" s="3"/>
      <c r="C113" s="2"/>
      <c r="D113" s="2"/>
      <c r="E113" s="2"/>
      <c r="F113" s="2"/>
      <c r="G113" s="2"/>
      <c r="H113" s="6">
        <f t="shared" si="2"/>
        <v>1</v>
      </c>
      <c r="I113" s="6" t="str">
        <f t="shared" si="3"/>
        <v>Ļoti zems</v>
      </c>
      <c r="J113" s="8"/>
    </row>
  </sheetData>
  <conditionalFormatting sqref="H2:H113">
    <cfRule type="expression" dxfId="8" priority="6">
      <formula>H2:H123&gt;=7</formula>
    </cfRule>
    <cfRule type="expression" dxfId="7" priority="7">
      <formula>H2:H123&gt;=5</formula>
    </cfRule>
    <cfRule type="expression" dxfId="6" priority="8">
      <formula>H2:H123&gt;=3</formula>
    </cfRule>
    <cfRule type="expression" dxfId="5" priority="9">
      <formula>H2:H123&lt;3</formula>
    </cfRule>
  </conditionalFormatting>
  <conditionalFormatting sqref="I2:I113">
    <cfRule type="expression" dxfId="4" priority="1">
      <formula>I2:I123="Ļoti augsts"</formula>
    </cfRule>
    <cfRule type="expression" dxfId="3" priority="3">
      <formula>I2:I123="Mērens-augsts"</formula>
    </cfRule>
    <cfRule type="expression" dxfId="2" priority="4">
      <formula>I2:I123="Zems-mērens"</formula>
    </cfRule>
    <cfRule type="expression" dxfId="1" priority="5">
      <formula>I2:I123="Ļoti zems"</formula>
    </cfRule>
  </conditionalFormatting>
  <conditionalFormatting sqref="I16">
    <cfRule type="expression" dxfId="0" priority="2">
      <formula>$I$2:$I$113="Ļoti augsts"</formula>
    </cfRule>
  </conditionalFormatting>
  <hyperlinks>
    <hyperlink ref="J2" r:id="rId1" xr:uid="{0A0801F3-5389-44BD-91E1-7AA3240CD82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v2_pasaule_dati</vt:lpstr>
      <vt:lpstr>vdemo_pasaule_dati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marchello putns</dc:creator>
  <cp:lastModifiedBy>marchello putns</cp:lastModifiedBy>
  <dcterms:created xsi:type="dcterms:W3CDTF">2025-06-16T10:06:05Z</dcterms:created>
  <dcterms:modified xsi:type="dcterms:W3CDTF">2025-09-28T13:53:01Z</dcterms:modified>
</cp:coreProperties>
</file>